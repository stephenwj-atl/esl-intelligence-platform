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f5cfac82b146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8b6ff5237834844"/>
    <x:sheet xmlns:r="http://schemas.openxmlformats.org/officeDocument/2006/relationships" name="JM Inventory" sheetId="2" r:id="Red7be797a2b14e0b"/>
    <x:sheet xmlns:r="http://schemas.openxmlformats.org/officeDocument/2006/relationships" name="Source Trail" sheetId="3" r:id="Rcb3c6d44f5884a8f"/>
    <x:sheet xmlns:r="http://schemas.openxmlformats.org/officeDocument/2006/relationships" name="Download Manifest" sheetId="4" r:id="R9b210220441e43fa"/>
    <x:sheet xmlns:r="http://schemas.openxmlformats.org/officeDocument/2006/relationships" name="README" sheetId="5" r:id="R738f49fd8eed42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  <x:family val="2"/>
      <x:scheme val="minor"/>
    </x:font>
    <x:font>
      <x:b/>
      <x:sz val="16"/>
      <x:color rgb="001F1F1F"/>
    </x:font>
    <x:font>
      <x:b/>
    </x:font>
    <x:font>
      <x:b/>
      <x:color rgb="00FFFFFF"/>
    </x:font>
    <x:font>
      <x:b/>
      <x:sz val="16"/>
    </x:font>
  </x:fonts>
  <x:fills count="7">
    <x:fill>
      <x:patternFill patternType="none"/>
    </x:fill>
    <x:fill>
      <x:patternFill patternType="gray125"/>
    </x:fill>
    <x:fill>
      <x:patternFill patternType="solid">
        <x:fgColor rgb="00FFF2CC"/>
      </x:patternFill>
    </x:fill>
    <x:fill>
      <x:patternFill patternType="solid">
        <x:fgColor rgb="00D9EAF7"/>
      </x:patternFill>
    </x:fill>
    <x:fill>
      <x:patternFill patternType="solid">
        <x:fgColor rgb="00E2F0D9"/>
      </x:patternFill>
    </x:fill>
    <x:fill>
      <x:patternFill patternType="solid">
        <x:fgColor rgb="001F4E78"/>
      </x:patternFill>
    </x:fill>
    <x:fill>
      <x:patternFill patternType="solid">
        <x:fgColor rgb="00FCE4D6"/>
      </x:patternFill>
    </x:fill>
  </x:fills>
  <x:borders count="10">
    <x:border>
      <x:left/>
      <x:right/>
      <x:top/>
      <x:bottom/>
      <x:diagonal/>
    </x:border>
    <x:border>
      <x:left style="thin">
        <x:color rgb="00D0D7DE"/>
      </x:left>
      <x:right style="thin">
        <x:color rgb="00D0D7DE"/>
      </x:right>
      <x:top style="thin">
        <x:color rgb="00D0D7DE"/>
      </x:top>
      <x:bottom style="thin">
        <x:color rgb="00D0D7DE"/>
      </x:bottom>
    </x:border>
    <x:border>
      <x:bottom style="thin">
        <x:color rgb="00E5E7EB"/>
      </x:bottom>
    </x:border>
    <x:border>
      <x:left/>
      <x:right/>
      <x:top style="thin">
        <x:color rgb="00D0D7DE"/>
      </x:top>
      <x:bottom/>
      <x:diagonal/>
    </x:border>
    <x:border>
      <x:left style="thin">
        <x:color rgb="00D0D7DE"/>
      </x:left>
      <x:right/>
      <x:top/>
      <x:bottom/>
      <x:diagonal/>
    </x:border>
    <x:border>
      <x:left/>
      <x:right style="thin">
        <x:color rgb="00D0D7DE"/>
      </x:right>
      <x:top style="thin">
        <x:color rgb="00D0D7DE"/>
      </x:top>
      <x:bottom/>
      <x:diagonal/>
    </x:border>
    <x:border>
      <x:left/>
      <x:right style="thin">
        <x:color rgb="00D0D7DE"/>
      </x:right>
      <x:top/>
      <x:bottom/>
      <x:diagonal/>
    </x:border>
    <x:border>
      <x:left style="thin">
        <x:color rgb="00D0D7DE"/>
      </x:left>
      <x:right/>
      <x:top/>
      <x:bottom style="thin">
        <x:color rgb="00D0D7DE"/>
      </x:bottom>
      <x:diagonal/>
    </x:border>
    <x:border>
      <x:left/>
      <x:right/>
      <x:top/>
      <x:bottom style="thin">
        <x:color rgb="00D0D7DE"/>
      </x:bottom>
      <x:diagonal/>
    </x:border>
    <x:border>
      <x:left/>
      <x:right style="thin">
        <x:color rgb="00D0D7DE"/>
      </x:right>
      <x:top/>
      <x:bottom style="thin">
        <x:color rgb="00D0D7DE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/>
    <x:xf numFmtId="0" fontId="0" fillId="2" borderId="1" xfId="0" applyAlignment="1">
      <x:alignment wrapText="1"/>
    </x:xf>
    <x:xf numFmtId="0" fontId="0" fillId="0" borderId="1" xfId="0"/>
    <x:xf numFmtId="0" fontId="2" fillId="3" borderId="1" xfId="0"/>
    <x:xf numFmtId="0" fontId="0" fillId="4" borderId="1" xfId="0" applyAlignment="1">
      <x:alignment horizontal="center"/>
    </x:xf>
    <x:xf numFmtId="0" fontId="3" fillId="5" borderId="0" xfId="0"/>
    <x:xf numFmtId="0" fontId="0" fillId="0" borderId="0" xfId="0" applyAlignment="1">
      <x:alignment wrapText="1"/>
    </x:xf>
    <x:xf numFmtId="0" fontId="3" fillId="5" borderId="1" xfId="0" applyAlignment="1">
      <x:alignment horizontal="center" vertical="center" wrapText="1"/>
    </x:xf>
    <x:xf numFmtId="0" fontId="0" fillId="0" borderId="2" xfId="0" applyAlignment="1">
      <x:alignment vertical="center" wrapText="1"/>
    </x:xf>
    <x:xf numFmtId="0" fontId="2" fillId="2" borderId="2" xfId="0" applyAlignment="1">
      <x:alignment vertical="center" wrapText="1"/>
    </x:xf>
    <x:xf numFmtId="0" fontId="2" fillId="6" borderId="2" xfId="0" applyAlignment="1">
      <x:alignment vertical="center" wrapText="1"/>
    </x:xf>
    <x:xf numFmtId="0" fontId="2" fillId="4" borderId="2" xfId="0" applyAlignment="1">
      <x:alignment vertical="center" wrapText="1"/>
    </x:xf>
    <x:xf numFmtId="0" fontId="4" fillId="0" borderId="0" xfId="0"/>
    <x:xf numFmtId="0" fontId="2" fillId="0" borderId="0" xfId="0"/>
    <x:xf numFmtId="0" fontId="0" fillId="2" borderId="0" xfId="0" applyAlignment="1">
      <x:alignment wrapText="1"/>
    </x:xf>
    <x:xf numFmtId="0" fontId="0" fillId="0" borderId="3" xfId="0"/>
    <x:xf numFmtId="0" fontId="0" fillId="0" borderId="5" xfId="0"/>
    <x:xf numFmtId="0" fontId="0" fillId="0" borderId="7" xfId="0"/>
    <x:xf numFmtId="0" fontId="0" fillId="0" borderId="8" xfId="0"/>
    <x:xf numFmtId="0" fontId="0" fillId="0" borderId="9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0103313a04995" /><Relationship Type="http://schemas.openxmlformats.org/officeDocument/2006/relationships/theme" Target="/xl/theme/theme1.xml" Id="R64793304ddb34212" /><Relationship Type="http://schemas.openxmlformats.org/officeDocument/2006/relationships/sharedStrings" Target="/xl/sharedStrings.xml" Id="R0514dd174a294d4e" /><Relationship Type="http://schemas.openxmlformats.org/officeDocument/2006/relationships/worksheet" Target="/xl/worksheets/sheet1.xml" Id="Re8b6ff5237834844" /><Relationship Type="http://schemas.openxmlformats.org/officeDocument/2006/relationships/worksheet" Target="/xl/worksheets/sheet2.xml" Id="Red7be797a2b14e0b" /><Relationship Type="http://schemas.openxmlformats.org/officeDocument/2006/relationships/worksheet" Target="/xl/worksheets/sheet3.xml" Id="Rcb3c6d44f5884a8f" /><Relationship Type="http://schemas.openxmlformats.org/officeDocument/2006/relationships/worksheet" Target="/xl/worksheets/sheet4.xml" Id="R9b210220441e43fa" /><Relationship Type="http://schemas.openxmlformats.org/officeDocument/2006/relationships/worksheet" Target="/xl/worksheets/sheet5.xml" Id="R738f49fd8eed42fa" /></Relationships>
</file>

<file path=xl/tables/table1.xml><?xml version="1.0" encoding="utf-8"?>
<x:table xmlns:x="http://schemas.openxmlformats.org/spreadsheetml/2006/main" id="1" name="JMInventoryTable" displayName="JMInventoryTable" ref="A1:N22" headerRowCount="1">
  <x:autoFilter ref="A1:N22"/>
  <x:tableColumns count="14">
    <x:tableColumn id="1" name="Layer ID"/>
    <x:tableColumn id="2" name="Layer Name"/>
    <x:tableColumn id="3" name="Country"/>
    <x:tableColumn id="4" name="Source Name"/>
    <x:tableColumn id="5" name="Source URL"/>
    <x:tableColumn id="6" name="Date Downloaded"/>
    <x:tableColumn id="7" name="File Path"/>
    <x:tableColumn id="8" name="Format"/>
    <x:tableColumn id="9" name="Resolution / Scale"/>
    <x:tableColumn id="10" name="Coverage Area"/>
    <x:tableColumn id="11" name="Access Method"/>
    <x:tableColumn id="12" name="Cost"/>
    <x:tableColumn id="13" name="Quality Assessment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JMSourceTrail" displayName="JMSourceTrail" ref="A1:E35" headerRowCount="1">
  <x:autoFilter ref="A1:E35"/>
  <x:tableColumns count="5">
    <x:tableColumn id="1" name="Layer ID"/>
    <x:tableColumn id="2" name="Candidate Source"/>
    <x:tableColumn id="3" name="Source URL"/>
    <x:tableColumn id="4" name="Status"/>
    <x:tableColumn id="5" name="Notes"/>
  </x:tableColumns>
  <x:tableStyleInfo name="TableStyleMedium9" showRowStripes="1"/>
</x:table>
</file>

<file path=xl/tables/table3.xml><?xml version="1.0" encoding="utf-8"?>
<x:table xmlns:x="http://schemas.openxmlformats.org/spreadsheetml/2006/main" id="3" name="JMDownloads" displayName="JMDownloads" ref="A1:H8" headerRowCount="1">
  <x:autoFilter ref="A1:H8"/>
  <x:tableColumns count="8">
    <x:tableColumn id="1" name="Folder"/>
    <x:tableColumn id="2" name="File Name"/>
    <x:tableColumn id="3" name="Relative Path"/>
    <x:tableColumn id="4" name="Size MB"/>
    <x:tableColumn id="5" name="Download Date"/>
    <x:tableColumn id="6" name="Status"/>
    <x:tableColumn id="7" name="Source URL"/>
    <x:tableColumn id="8" name="Purpose"/>
  </x:tableColumns>
  <x:tableStyleInfo name="TableStyleMedium4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3920125e81c43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74ad4d353643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c4c54e2fc0241b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12" customWidth="1"/>
    <x:col min="3" max="3" width="2" customWidth="1"/>
    <x:col min="4" max="4" width="55" customWidth="1"/>
  </x:cols>
  <x:sheetData>
    <x:row r="1">
      <x:c r="A1" s="1" t="inlineStr">
        <x:is>
          <x:t xml:space="preserve">Jamaica geodata pilot - tightened pass summary</x:t>
        </x:is>
      </x:c>
    </x:row>
    <x:row r="2">
      <x:c r="A2" s="2" t="inlineStr">
        <x:is>
          <x:t xml:space="preserve">Built from the March 2026 ESL research brief. Note: the brief says '20 layers' but the numbered list actually contains 21 items (1.1-4.5). This tightened workbook follows the numbered list.</x:t>
        </x:is>
      </x:c>
      <x:c r="B2" s="16" t="n"/>
      <x:c r="C2" s="16" t="n"/>
      <x:c r="D2" s="16" t="n"/>
      <x:c r="E2" s="16" t="n"/>
      <x:c r="F2" s="17" t="n"/>
    </x:row>
    <x:row r="3">
      <x:c r="A3" s="18" t="n"/>
      <x:c r="B3" s="19" t="n"/>
      <x:c r="C3" s="19" t="n"/>
      <x:c r="D3" s="19" t="n"/>
      <x:c r="E3" s="19" t="n"/>
      <x:c r="F3" s="20" t="n"/>
    </x:row>
    <x:row r="5">
      <x:c r="A5" s="4" t="inlineStr">
        <x:is>
          <x:t xml:space="preserve">Total enumerated layers</x:t>
        </x:is>
      </x:c>
      <x:c r="B5" s="5">
        <x:f>COUNTA('JM Inventory'!A:A)-1</x:f>
        <x:v>21</x:v>
      </x:c>
      <x:c r="D5" s="6" t="inlineStr">
        <x:is>
          <x:t xml:space="preserve">Build-ready / strongest layers now</x:t>
        </x:is>
      </x:c>
    </x:row>
    <x:row r="6">
      <x:c r="A6" s="4" t="inlineStr">
        <x:is>
          <x:t xml:space="preserve">Good</x:t>
        </x:is>
      </x:c>
      <x:c r="B6" s="5">
        <x:f>COUNTIF('JM Inventory'!M:M,"Good")</x:f>
        <x:v>9</x:v>
      </x:c>
      <x:c r="D6" s="7" t="inlineStr">
        <x:is>
          <x:t xml:space="preserve">• 1.4 Contamination sources (official PRTR services)</x:t>
        </x:is>
      </x:c>
    </x:row>
    <x:row r="7">
      <x:c r="A7" s="4" t="inlineStr">
        <x:is>
          <x:t xml:space="preserve">Partial</x:t>
        </x:is>
      </x:c>
      <x:c r="B7" s="5">
        <x:f>COUNTIF('JM Inventory'!M:M,"Partial")</x:f>
        <x:v>11</x:v>
      </x:c>
      <x:c r="D7" s="7" t="inlineStr">
        <x:is>
          <x:t xml:space="preserve">• 1.5 Hurricane tracks / wind history (IBTrACS)</x:t>
        </x:is>
      </x:c>
    </x:row>
    <x:row r="8">
      <x:c r="A8" s="4" t="inlineStr">
        <x:is>
          <x:t xml:space="preserve">Proxy</x:t>
        </x:is>
      </x:c>
      <x:c r="B8" s="5">
        <x:f>COUNTIF('JM Inventory'!M:M,"Proxy")</x:f>
        <x:v>1</x:v>
      </x:c>
      <x:c r="D8" s="7" t="inlineStr">
        <x:is>
          <x:t xml:space="preserve">• 1.6 Watersheds / drainage basins (WRA + HydroSHEDS)</x:t>
        </x:is>
      </x:c>
    </x:row>
    <x:row r="9">
      <x:c r="A9" s="4" t="inlineStr">
        <x:is>
          <x:t xml:space="preserve">Missing</x:t>
        </x:is>
      </x:c>
      <x:c r="B9" s="5">
        <x:f>COUNTIF('JM Inventory'!M:M,"Missing")</x:f>
        <x:v>0</x:v>
      </x:c>
      <x:c r="D9" s="7" t="inlineStr">
        <x:is>
          <x:t xml:space="preserve">• 2.1 Water stress index (Aqueduct)</x:t>
        </x:is>
      </x:c>
    </x:row>
    <x:row r="10">
      <x:c r="A10" s="4" t="inlineStr">
        <x:is>
          <x:t xml:space="preserve">Raw files downloaded / created</x:t>
        </x:is>
      </x:c>
      <x:c r="B10" s="5">
        <x:f>COUNTA('Download Manifest'!B:B)-1</x:f>
        <x:v>8</x:v>
      </x:c>
      <x:c r="D10" s="7" t="inlineStr">
        <x:is>
          <x:t xml:space="preserve">• 2.3 Road network (NWA + OSM)</x:t>
        </x:is>
      </x:c>
    </x:row>
    <x:row r="11">
      <x:c r="D11" s="7" t="inlineStr">
        <x:is>
          <x:t xml:space="preserve">• 3.1 Population density (WorldPop + parish-density QA)</x:t>
        </x:is>
      </x:c>
    </x:row>
    <x:row r="12">
      <x:c r="D12" s="7" t="inlineStr">
        <x:is>
          <x:t xml:space="preserve">• 3.2 Sensitive receptors (health CSVs + OSM)</x:t>
        </x:is>
      </x:c>
    </x:row>
    <x:row r="13">
      <x:c r="D13" s="7" t="inlineStr">
        <x:is>
          <x:t xml:space="preserve">• 4.1 Protected areas (official GOJ service + WDPA backup)</x:t>
        </x:is>
      </x:c>
    </x:row>
    <x:row r="14">
      <x:c r="D14" s="6" t="inlineStr">
        <x:is>
          <x:t xml:space="preserve">Highest-value remaining gaps</x:t>
        </x:is>
      </x:c>
    </x:row>
    <x:row r="15">
      <x:c r="A15" s="14" t="inlineStr">
        <x:is>
          <x:t xml:space="preserve">Tightening pass highlights</x:t>
        </x:is>
      </x:c>
      <x:c r="D15" s="7" t="inlineStr">
        <x:is>
          <x:t xml:space="preserve">• 1.1 Exportable WRA flood polygons / depths</x:t>
        </x:is>
      </x:c>
    </x:row>
    <x:row r="16">
      <x:c r="A16" t="inlineStr">
        <x:is>
          <x:t xml:space="preserve">• 1.4 moved from Partial to Good after identifying official NEPA PRTR services.</x:t>
        </x:is>
      </x:c>
      <x:c r="D16" s="7" t="inlineStr">
        <x:is>
          <x:t xml:space="preserve">• 1.2 National storm-surge grid</x:t>
        </x:is>
      </x:c>
    </x:row>
    <x:row r="17">
      <x:c r="A17" t="inlineStr">
        <x:is>
          <x:t xml:space="preserve">• 1.1, 1.2, 3.3, 4.1, 4.2 and 4.5 now have stronger official-source routing.</x:t>
        </x:is>
      </x:c>
      <x:c r="D17" s="7" t="inlineStr">
        <x:is>
          <x:t xml:space="preserve">• 1.4 Unified contamination registry</x:t>
        </x:is>
      </x:c>
    </x:row>
    <x:row r="18">
      <x:c r="A18" t="inlineStr">
        <x:is>
          <x:t xml:space="preserve">• Remaining high-value blockers are still 1.1, 1.2, 2.2, 2.5, 4.2, 4.4 and 4.5.</x:t>
        </x:is>
      </x:c>
      <x:c r="D18" s="7" t="inlineStr">
        <x:is>
          <x:t xml:space="preserve">• 2.2 Water / sewer service-area GIS</x:t>
        </x:is>
      </x:c>
    </x:row>
    <x:row r="19">
      <x:c r="D19" s="7" t="inlineStr">
        <x:is>
          <x:t xml:space="preserve">• 2.5 District or feeder reliability data</x:t>
        </x:is>
      </x:c>
    </x:row>
    <x:row r="20">
      <x:c r="D20" s="7" t="inlineStr">
        <x:is>
          <x:t xml:space="preserve">• 3.3 Parish-level health burden table</x:t>
        </x:is>
      </x:c>
    </x:row>
    <x:row r="21">
      <x:c r="D21" s="7" t="inlineStr">
        <x:is>
          <x:t xml:space="preserve">• 3.4 Official informal-settlement polygons</x:t>
        </x:is>
      </x:c>
    </x:row>
    <x:row r="22">
      <x:c r="D22" s="7" t="inlineStr">
        <x:is>
          <x:t xml:space="preserve">• 4.2 Parcel-ready zoning polygons</x:t>
        </x:is>
      </x:c>
    </x:row>
    <x:row r="23">
      <x:c r="D23" s="7" t="inlineStr">
        <x:is>
          <x:t xml:space="preserve">• 4.4 Standardized permit-timeline table</x:t>
        </x:is>
      </x:c>
    </x:row>
    <x:row r="24">
      <x:c r="D24" s="7" t="inlineStr">
        <x:is>
          <x:t xml:space="preserve">• 4.5 Unified heritage GIS layer</x:t>
        </x:is>
      </x:c>
    </x:row>
  </x:sheetData>
  <x:mergeCells>
    <x:mergeCell ref="A2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34" customWidth="1"/>
    <x:col min="3" max="3" width="9" customWidth="1"/>
    <x:col min="4" max="4" width="30" customWidth="1"/>
    <x:col min="5" max="5" width="44" customWidth="1"/>
    <x:col min="6" max="6" width="14" customWidth="1"/>
    <x:col min="7" max="7" width="32" customWidth="1"/>
    <x:col min="8" max="8" width="20" customWidth="1"/>
    <x:col min="9" max="9" width="22" customWidth="1"/>
    <x:col min="10" max="10" width="16" customWidth="1"/>
    <x:col min="11" max="11" width="22" customWidth="1"/>
    <x:col min="12" max="12" width="12" customWidth="1"/>
    <x:col min="13" max="13" width="16" customWidth="1"/>
    <x:col min="14" max="14" width="48" customWidth="1"/>
  </x:cols>
  <x:sheetData>
    <x:row r="1">
      <x:c r="A1" s="8" t="inlineStr">
        <x:is>
          <x:t xml:space="preserve">Layer ID</x:t>
        </x:is>
      </x:c>
      <x:c r="B1" s="8" t="inlineStr">
        <x:is>
          <x:t xml:space="preserve">Layer Name</x:t>
        </x:is>
      </x:c>
      <x:c r="C1" s="8" t="inlineStr">
        <x:is>
          <x:t xml:space="preserve">Country</x:t>
        </x:is>
      </x:c>
      <x:c r="D1" s="8" t="inlineStr">
        <x:is>
          <x:t xml:space="preserve">Source Name</x:t>
        </x:is>
      </x:c>
      <x:c r="E1" s="8" t="inlineStr">
        <x:is>
          <x:t xml:space="preserve">Source URL</x:t>
        </x:is>
      </x:c>
      <x:c r="F1" s="8" t="inlineStr">
        <x:is>
          <x:t xml:space="preserve">Date Downloaded</x:t>
        </x:is>
      </x:c>
      <x:c r="G1" s="8" t="inlineStr">
        <x:is>
          <x:t xml:space="preserve">File Path</x:t>
        </x:is>
      </x:c>
      <x:c r="H1" s="8" t="inlineStr">
        <x:is>
          <x:t xml:space="preserve">Format</x:t>
        </x:is>
      </x:c>
      <x:c r="I1" s="8" t="inlineStr">
        <x:is>
          <x:t xml:space="preserve">Resolution / Scale</x:t>
        </x:is>
      </x:c>
      <x:c r="J1" s="8" t="inlineStr">
        <x:is>
          <x:t xml:space="preserve">Coverage Area</x:t>
        </x:is>
      </x:c>
      <x:c r="K1" s="8" t="inlineStr">
        <x:is>
          <x:t xml:space="preserve">Access Method</x:t>
        </x:is>
      </x:c>
      <x:c r="L1" s="8" t="inlineStr">
        <x:is>
          <x:t xml:space="preserve">Cost</x:t>
        </x:is>
      </x:c>
      <x:c r="M1" s="8" t="inlineStr">
        <x:is>
          <x:t xml:space="preserve">Quality Assessment</x:t>
        </x:is>
      </x:c>
      <x:c r="N1" s="8" t="inlineStr">
        <x:is>
          <x:t xml:space="preserve">Notes</x:t>
        </x:is>
      </x:c>
    </x:row>
    <x:row r="2">
      <x:c r="A2" s="9" t="inlineStr">
        <x:is>
          <x:t xml:space="preserve">1.1</x:t>
        </x:is>
      </x:c>
      <x:c r="B2" s="9" t="inlineStr">
        <x:is>
          <x:t xml:space="preserve">Flood Hazard Maps</x:t>
        </x:is>
      </x:c>
      <x:c r="C2" s="9" t="inlineStr">
        <x:is>
          <x:t xml:space="preserve">JM</x:t>
        </x:is>
      </x:c>
      <x:c r="D2" s="9" t="inlineStr">
        <x:is>
          <x:t xml:space="preserve">Water Resources Authority (WRA) - Flood Boundaries / Flood Portal services</x:t>
        </x:is>
      </x:c>
      <x:c r="E2" s="9" t="inlineStr">
        <x:is>
          <x:t xml:space="preserve">https://www.wra.gov.jm/resources/maps/ | https://gis2.mset.gov.jm/server/rest/services/Hosted/Flood_Boundaries/FeatureServer | https://gis2.mset.gov.jm/server/rest/services/Flood_Portal_WFL1/FeatureServer</x:t>
        </x:is>
      </x:c>
      <x:c r="F2" s="9" t="inlineStr">
        <x:is>
          <x:t xml:space="preserve">2026-03-26</x:t>
        </x:is>
      </x:c>
      <x:c r="G2" s="9" t="inlineStr">
        <x:is>
          <x:t xml:space="preserve">Public ArcGIS services identified; export/query capture still pending</x:t>
        </x:is>
      </x:c>
      <x:c r="H2" s="9" t="inlineStr">
        <x:is>
          <x:t xml:space="preserve">Feature service / Web GIS / polygons</x:t>
        </x:is>
      </x:c>
      <x:c r="I2" s="9" t="inlineStr">
        <x:is>
          <x:t xml:space="preserve">Mapped flood boundaries; local return-period layers identified for select basins</x:t>
        </x:is>
      </x:c>
      <x:c r="J2" s="9" t="inlineStr">
        <x:is>
          <x:t xml:space="preserve">National (select floodplains / flood events; incomplete)</x:t>
        </x:is>
      </x:c>
      <x:c r="K2" s="9" t="inlineStr">
        <x:is>
          <x:t xml:space="preserve">Public ArcGIS service + WRA maps page + agency request</x:t>
        </x:is>
      </x:c>
      <x:c r="L2" s="9" t="inlineStr">
        <x:is>
          <x:t xml:space="preserve">Free / request</x:t>
        </x:is>
      </x:c>
      <x:c r="M2" s="10" t="inlineStr">
        <x:is>
          <x:t xml:space="preserve">Partial</x:t>
        </x:is>
      </x:c>
      <x:c r="N2" s="9" t="inlineStr">
        <x:is>
          <x:t xml:space="preserve">Tightening pass identified public WRA ArcGIS services for national flood boundaries. Service content includes flood-event boundaries and select mapped floodplains (for example Rio Cobre 10/25/50/100-year layers), but the official item notes limited coverage / incomplete data, so this remains Partial rather than Good.</x:t>
        </x:is>
      </x:c>
    </x:row>
    <x:row r="3">
      <x:c r="A3" s="9" t="inlineStr">
        <x:is>
          <x:t xml:space="preserve">1.2</x:t>
        </x:is>
      </x:c>
      <x:c r="B3" s="9" t="inlineStr">
        <x:is>
          <x:t xml:space="preserve">Coastal Inundation &amp; Storm Surge Models</x:t>
        </x:is>
      </x:c>
      <x:c r="C3" s="9" t="inlineStr">
        <x:is>
          <x:t xml:space="preserve">JM</x:t>
        </x:is>
      </x:c>
      <x:c r="D3" s="9" t="inlineStr">
        <x:is>
          <x:t xml:space="preserve">ODPEM / OAS local storm-surge studies + GOJ coastal inundation ArcGIS services</x:t>
        </x:is>
      </x:c>
      <x:c r="E3" s="9" t="inlineStr">
        <x:is>
          <x:t xml:space="preserve">https://www.odpem.org.jm/ | https://services6.arcgis.com/3R3y1KXaPJ9BFnsU/ArcGIS/rest/services/Port_Antonio_coastal_inundation_zones/FeatureServer | https://services6.arcgis.com/3R3y1KXaPJ9BFnsU/ArcGIS/rest/services/Port_Maria_coastal_inundation_zones/FeatureServer</x:t>
        </x:is>
      </x:c>
      <x:c r="F3" s="9" t="inlineStr">
        <x:is>
          <x:t xml:space="preserve">2026-03-26</x:t>
        </x:is>
      </x:c>
      <x:c r="G3" s="9" t="inlineStr">
        <x:is>
          <x:t xml:space="preserve">No national raster downloaded; local official coastal-inundation services identified</x:t>
        </x:is>
      </x:c>
      <x:c r="H3" s="9" t="inlineStr">
        <x:is>
          <x:t xml:space="preserve">Feature service / study maps / PDFs</x:t>
        </x:is>
      </x:c>
      <x:c r="I3" s="9" t="inlineStr">
        <x:is>
          <x:t xml:space="preserve">Local coastal inundation zones; Jamaica-wide Cat 1-5 grid not secured</x:t>
        </x:is>
      </x:c>
      <x:c r="J3" s="9" t="inlineStr">
        <x:is>
          <x:t xml:space="preserve">Coastal (local official study areas + national screening)</x:t>
        </x:is>
      </x:c>
      <x:c r="K3" s="9" t="inlineStr">
        <x:is>
          <x:t xml:space="preserve">Public ArcGIS service + public reports + agency request</x:t>
        </x:is>
      </x:c>
      <x:c r="L3" s="9" t="inlineStr">
        <x:is>
          <x:t xml:space="preserve">Free / request</x:t>
        </x:is>
      </x:c>
      <x:c r="M3" s="10" t="inlineStr">
        <x:is>
          <x:t xml:space="preserve">Partial</x:t>
        </x:is>
      </x:c>
      <x:c r="N3" s="9" t="inlineStr">
        <x:is>
          <x:t xml:space="preserve">This pass strengthened 1.2 materially: official ArcGIS inundation services were identified for Port Antonio and Port Maria, and Montego Bay storm-surge mapping is publicly referenced. Still no single Jamaica-wide downloadable storm-surge surface by hurricane category was secured.</x:t>
        </x:is>
      </x:c>
    </x:row>
    <x:row r="4">
      <x:c r="A4" s="9" t="inlineStr">
        <x:is>
          <x:t xml:space="preserve">1.3</x:t>
        </x:is>
      </x:c>
      <x:c r="B4" s="9" t="inlineStr">
        <x:is>
          <x:t xml:space="preserve">Sea Level Rise Projections</x:t>
        </x:is>
      </x:c>
      <x:c r="C4" s="9" t="inlineStr">
        <x:is>
          <x:t xml:space="preserve">JM</x:t>
        </x:is>
      </x:c>
      <x:c r="D4" s="9" t="inlineStr">
        <x:is>
          <x:t xml:space="preserve">Climate Central Surging Seas + local GOJ coastal-inundation evidence</x:t>
        </x:is>
      </x:c>
      <x:c r="E4" s="9" t="inlineStr">
        <x:is>
          <x:t xml:space="preserve">https://coastal.climatecentral.org/ | https://services6.arcgis.com/3R3y1KXaPJ9BFnsU/ArcGIS/rest/services/Port_Antonio_coastal_inundation_zones/FeatureServer</x:t>
        </x:is>
      </x:c>
      <x:c r="F4" s="9" t="inlineStr">
        <x:is>
          <x:t xml:space="preserve">2026-03-26</x:t>
        </x:is>
      </x:c>
      <x:c r="G4" s="9" t="inlineStr">
        <x:is>
          <x:t xml:space="preserve">No raw national raster downloaded in this pass</x:t>
        </x:is>
      </x:c>
      <x:c r="H4" s="9" t="inlineStr">
        <x:is>
          <x:t xml:space="preserve">Interactive raster / map screening</x:t>
        </x:is>
      </x:c>
      <x:c r="I4" s="9" t="inlineStr">
        <x:is>
          <x:t xml:space="preserve">CoastalDEM-based screening; future scenarios</x:t>
        </x:is>
      </x:c>
      <x:c r="J4" s="9" t="inlineStr">
        <x:is>
          <x:t xml:space="preserve">Coastal</x:t>
        </x:is>
      </x:c>
      <x:c r="K4" s="9" t="inlineStr">
        <x:is>
          <x:t xml:space="preserve">Public interactive</x:t>
        </x:is>
      </x:c>
      <x:c r="L4" s="9" t="inlineStr">
        <x:is>
          <x:t xml:space="preserve">Free</x:t>
        </x:is>
      </x:c>
      <x:c r="M4" s="11" t="inlineStr">
        <x:is>
          <x:t xml:space="preserve">Proxy</x:t>
        </x:is>
      </x:c>
      <x:c r="N4" s="9" t="inlineStr">
        <x:is>
          <x:t xml:space="preserve">Still a proxy layer for Jamaica: useful screening is available through Climate Central, and local official inundation layers exist, but a Jamaica-hosted national sea-level-rise layer with the brief's requested scenario structure was not secured.</x:t>
        </x:is>
      </x:c>
    </x:row>
    <x:row r="5">
      <x:c r="A5" s="9" t="inlineStr">
        <x:is>
          <x:t xml:space="preserve">1.4</x:t>
        </x:is>
      </x:c>
      <x:c r="B5" s="9" t="inlineStr">
        <x:is>
          <x:t xml:space="preserve">Soil &amp; Groundwater Contamination</x:t>
        </x:is>
      </x:c>
      <x:c r="C5" s="9" t="inlineStr">
        <x:is>
          <x:t xml:space="preserve">JM</x:t>
        </x:is>
      </x:c>
      <x:c r="D5" s="9" t="inlineStr">
        <x:is>
          <x:t xml:space="preserve">NEPA Pollutant Release and Transfer Register (PRTR) + NSWMA landfill context</x:t>
        </x:is>
      </x:c>
      <x:c r="E5" s="9" t="inlineStr">
        <x:is>
          <x:t xml:space="preserve">https://gis2.mset.gov.jm/server/rest/services/Pollutant_Release_Transfer_Register_WFL1/FeatureServer | https://gis2.mset.gov.jm/server/rest/services/PRTR2023_WFL1/FeatureServer | https://gis2.mset.gov.jm/server/rest/services/PRTR_2021_Latest_Service/FeatureServer | https://nswma.gov.jm/</x:t>
        </x:is>
      </x:c>
      <x:c r="F5" s="9" t="inlineStr">
        <x:is>
          <x:t xml:space="preserve">2026-03-26</x:t>
        </x:is>
      </x:c>
      <x:c r="G5" s="9" t="inlineStr">
        <x:is>
          <x:t xml:space="preserve">Public ArcGIS services identified; query/export capture still pending</x:t>
        </x:is>
      </x:c>
      <x:c r="H5" s="9" t="inlineStr">
        <x:is>
          <x:t xml:space="preserve">Feature service / point layers + related tables</x:t>
        </x:is>
      </x:c>
      <x:c r="I5" s="9" t="inlineStr">
        <x:is>
          <x:t xml:space="preserve">Facility / site level with coordinates; 2018-2023 coverage identified</x:t>
        </x:is>
      </x:c>
      <x:c r="J5" s="9" t="inlineStr">
        <x:is>
          <x:t xml:space="preserve">National</x:t>
        </x:is>
      </x:c>
      <x:c r="K5" s="9" t="inlineStr">
        <x:is>
          <x:t xml:space="preserve">Public ArcGIS services + public agency site</x:t>
        </x:is>
      </x:c>
      <x:c r="L5" s="9" t="inlineStr">
        <x:is>
          <x:t xml:space="preserve">Free</x:t>
        </x:is>
      </x:c>
      <x:c r="M5" s="10" t="inlineStr">
        <x:is>
          <x:t xml:space="preserve">Good</x:t>
        </x:is>
      </x:c>
      <x:c r="N5" s="9" t="inlineStr">
        <x:is>
          <x:t xml:space="preserve">Upgraded in the tightening pass. Jamaica has public official PRTR services with facility-level layers for trade effluent, sewage, and air-quality facilities plus related report tables. This is strong enough for contamination-source proximity analytics, even though it is not a single classic brownfield registry.</x:t>
        </x:is>
      </x:c>
    </x:row>
    <x:row r="6">
      <x:c r="A6" s="9" t="inlineStr">
        <x:is>
          <x:t xml:space="preserve">1.5</x:t>
        </x:is>
      </x:c>
      <x:c r="B6" s="9" t="inlineStr">
        <x:is>
          <x:t xml:space="preserve">Hurricane Track &amp; Wind Speed History</x:t>
        </x:is>
      </x:c>
      <x:c r="C6" s="9" t="inlineStr">
        <x:is>
          <x:t xml:space="preserve">JM</x:t>
        </x:is>
      </x:c>
      <x:c r="D6" s="9" t="inlineStr">
        <x:is>
          <x:t xml:space="preserve">NOAA IBTrACS</x:t>
        </x:is>
      </x:c>
      <x:c r="E6" s="9" t="inlineStr">
        <x:is>
          <x:t xml:space="preserve">https://www.ncei.noaa.gov/products/international-best-track-archive</x:t>
        </x:is>
      </x:c>
      <x:c r="F6" s="9" t="inlineStr">
        <x:is>
          <x:t xml:space="preserve">2026-03-26</x:t>
        </x:is>
      </x:c>
      <x:c r="G6" s="9" t="inlineStr">
        <x:is>
          <x:t xml:space="preserve">Recommended regional storage in 00_REGIONAL/raw_data</x:t>
        </x:is>
      </x:c>
      <x:c r="H6" s="9" t="inlineStr">
        <x:is>
          <x:t xml:space="preserve">CSV / NetCDF / shapefile-compatible workflows</x:t>
        </x:is>
      </x:c>
      <x:c r="I6" s="9" t="inlineStr">
        <x:is>
          <x:t xml:space="preserve">Basin-wide historical storm tracks, 1950-present</x:t>
        </x:is>
      </x:c>
      <x:c r="J6" s="9" t="inlineStr">
        <x:is>
          <x:t xml:space="preserve">Caribbean basin / Jamaica proximity analysis</x:t>
        </x:is>
      </x:c>
      <x:c r="K6" s="9" t="inlineStr">
        <x:is>
          <x:t xml:space="preserve">Public download</x:t>
        </x:is>
      </x:c>
      <x:c r="L6" s="9" t="inlineStr">
        <x:is>
          <x:t xml:space="preserve">Free</x:t>
        </x:is>
      </x:c>
      <x:c r="M6" s="12" t="inlineStr">
        <x:is>
          <x:t xml:space="preserve">Good</x:t>
        </x:is>
      </x:c>
      <x:c r="N6" s="9" t="inlineStr">
        <x:is>
          <x:t xml:space="preserve">Best open basin-wide reference for historical storm tracks and wind-speed metadata; suitable for 100km proximity analytics.</x:t>
        </x:is>
      </x:c>
    </x:row>
    <x:row r="7">
      <x:c r="A7" s="9" t="inlineStr">
        <x:is>
          <x:t xml:space="preserve">1.6</x:t>
        </x:is>
      </x:c>
      <x:c r="B7" s="9" t="inlineStr">
        <x:is>
          <x:t xml:space="preserve">Watershed &amp; Drainage Basin Maps</x:t>
        </x:is>
      </x:c>
      <x:c r="C7" s="9" t="inlineStr">
        <x:is>
          <x:t xml:space="preserve">JM</x:t>
        </x:is>
      </x:c>
      <x:c r="D7" s="9" t="inlineStr">
        <x:is>
          <x:t xml:space="preserve">WRA monitoring network / hydrologic basin services + HydroSHEDS/HydroBASINS</x:t>
        </x:is>
      </x:c>
      <x:c r="E7" s="9" t="inlineStr">
        <x:is>
          <x:t xml:space="preserve">https://webmap.wra.gov.jm/ | https://gis2.mset.gov.jm/server/rest/services/Ground_and_Surface_Water_Monitoring_Network__Jamaica_WFL1/FeatureServer | https://www.hydrosheds.org/</x:t>
        </x:is>
      </x:c>
      <x:c r="F7" s="9" t="inlineStr">
        <x:is>
          <x:t xml:space="preserve">2026-03-26</x:t>
        </x:is>
      </x:c>
      <x:c r="G7" s="9" t="inlineStr">
        <x:is>
          <x:t xml:space="preserve">Recommended national pull from WRA plus regional fallback in 00_REGIONAL</x:t>
        </x:is>
      </x:c>
      <x:c r="H7" s="9" t="inlineStr">
        <x:is>
          <x:t xml:space="preserve">Web GIS / polygon / polyline</x:t>
        </x:is>
      </x:c>
      <x:c r="I7" s="9" t="inlineStr">
        <x:is>
          <x:t xml:space="preserve">Watershed-management-unit and hydrobasin scale</x:t>
        </x:is>
      </x:c>
      <x:c r="J7" s="9" t="inlineStr">
        <x:is>
          <x:t xml:space="preserve">National</x:t>
        </x:is>
      </x:c>
      <x:c r="K7" s="9" t="inlineStr">
        <x:is>
          <x:t xml:space="preserve">Guest web map + public regional download</x:t>
        </x:is>
      </x:c>
      <x:c r="L7" s="9" t="inlineStr">
        <x:is>
          <x:t xml:space="preserve">Free</x:t>
        </x:is>
      </x:c>
      <x:c r="M7" s="12" t="inlineStr">
        <x:is>
          <x:t xml:space="preserve">Good</x:t>
        </x:is>
      </x:c>
      <x:c r="N7" s="9" t="inlineStr">
        <x:is>
          <x:t xml:space="preserve">Tightening pass confirmed public WRA service layers for hydrologic basins, watershed management units, sub-watersheds, rivers, and ground/surface-water monitoring points. This remains a solid Good layer.</x:t>
        </x:is>
      </x:c>
    </x:row>
    <x:row r="8">
      <x:c r="A8" s="9" t="inlineStr">
        <x:is>
          <x:t xml:space="preserve">2.1</x:t>
        </x:is>
      </x:c>
      <x:c r="B8" s="9" t="inlineStr">
        <x:is>
          <x:t xml:space="preserve">Water Stress Index</x:t>
        </x:is>
      </x:c>
      <x:c r="C8" s="9" t="inlineStr">
        <x:is>
          <x:t xml:space="preserve">JM</x:t>
        </x:is>
      </x:c>
      <x:c r="D8" s="9" t="inlineStr">
        <x:is>
          <x:t xml:space="preserve">WRI Aqueduct 4.0</x:t>
        </x:is>
      </x:c>
      <x:c r="E8" s="9" t="inlineStr">
        <x:is>
          <x:t xml:space="preserve">https://www.wri.org/aqueduct</x:t>
        </x:is>
      </x:c>
      <x:c r="F8" s="9" t="inlineStr">
        <x:is>
          <x:t xml:space="preserve">2026-03-26</x:t>
        </x:is>
      </x:c>
      <x:c r="G8" s="9" t="inlineStr">
        <x:is>
          <x:t xml:space="preserve">Recommended regional storage in 00_REGIONAL/raw_data</x:t>
        </x:is>
      </x:c>
      <x:c r="H8" s="9" t="inlineStr">
        <x:is>
          <x:t xml:space="preserve">GIS polygons / tabular water-risk indicators</x:t>
        </x:is>
      </x:c>
      <x:c r="I8" s="9" t="inlineStr">
        <x:is>
          <x:t xml:space="preserve">Watershed / basin scale</x:t>
        </x:is>
      </x:c>
      <x:c r="J8" s="9" t="inlineStr">
        <x:is>
          <x:t xml:space="preserve">National / watershed</x:t>
        </x:is>
      </x:c>
      <x:c r="K8" s="9" t="inlineStr">
        <x:is>
          <x:t xml:space="preserve">Public download / platform export</x:t>
        </x:is>
      </x:c>
      <x:c r="L8" s="9" t="inlineStr">
        <x:is>
          <x:t xml:space="preserve">Free</x:t>
        </x:is>
      </x:c>
      <x:c r="M8" s="12" t="inlineStr">
        <x:is>
          <x:t xml:space="preserve">Good</x:t>
        </x:is>
      </x:c>
      <x:c r="N8" s="9" t="inlineStr">
        <x:is>
          <x:t xml:space="preserve">Named primary source in the brief and suitable for baseline water-stress screening and future scenario handling.</x:t>
        </x:is>
      </x:c>
    </x:row>
    <x:row r="9">
      <x:c r="A9" s="9" t="inlineStr">
        <x:is>
          <x:t xml:space="preserve">2.2</x:t>
        </x:is>
      </x:c>
      <x:c r="B9" s="9" t="inlineStr">
        <x:is>
          <x:t xml:space="preserve">Utility Infrastructure Maps</x:t>
        </x:is>
      </x:c>
      <x:c r="C9" s="9" t="inlineStr">
        <x:is>
          <x:t xml:space="preserve">JM</x:t>
        </x:is>
      </x:c>
      <x:c r="D9" s="9" t="inlineStr">
        <x:is>
          <x:t xml:space="preserve">JPS distribution network map + NWC service channels + OUR/JPS follow-up</x:t>
        </x:is>
      </x:c>
      <x:c r="E9" s="9" t="inlineStr">
        <x:is>
          <x:t xml:space="preserve">https://www.jpsco.com/wp-content/uploads/2024/01/REOI-973893-Map-of-JPS-Distribution-Network-by-Regions-1.pdf | https://www.jpsco.com/contact-us-today/ | https://www.nwcjamaica.com/ | https://our.org.jm/</x:t>
        </x:is>
      </x:c>
      <x:c r="F9" s="9" t="inlineStr">
        <x:is>
          <x:t xml:space="preserve">2026-03-26</x:t>
        </x:is>
      </x:c>
      <x:c r="G9" s="9" t="inlineStr">
        <x:is>
          <x:t xml:space="preserve">JM/raw_data/jps_distribution_network_map_by_region.pdf</x:t>
        </x:is>
      </x:c>
      <x:c r="H9" s="9" t="inlineStr">
        <x:is>
          <x:t xml:space="preserve">PDF network map + requestable GIS/service-area layers</x:t>
        </x:is>
      </x:c>
      <x:c r="I9" s="9" t="inlineStr">
        <x:is>
          <x:t xml:space="preserve">Regional utility network overview; parcel-ready network GIS pending</x:t>
        </x:is>
      </x:c>
      <x:c r="J9" s="9" t="inlineStr">
        <x:is>
          <x:t xml:space="preserve">National</x:t>
        </x:is>
      </x:c>
      <x:c r="K9" s="9" t="inlineStr">
        <x:is>
          <x:t xml:space="preserve">Public PDF + formal utility request</x:t>
        </x:is>
      </x:c>
      <x:c r="L9" s="9" t="inlineStr">
        <x:is>
          <x:t xml:space="preserve">Free / request</x:t>
        </x:is>
      </x:c>
      <x:c r="M9" s="10" t="inlineStr">
        <x:is>
          <x:t xml:space="preserve">Partial</x:t>
        </x:is>
      </x:c>
      <x:c r="N9" s="9" t="inlineStr">
        <x:is>
          <x:t xml:space="preserve">Still Partial. Public power-network coverage evidence is good, but parcel-ready water/sewer network geometry and service-area polygons still require direct utility engagement.</x:t>
        </x:is>
      </x:c>
    </x:row>
    <x:row r="10">
      <x:c r="A10" s="9" t="inlineStr">
        <x:is>
          <x:t xml:space="preserve">2.3</x:t>
        </x:is>
      </x:c>
      <x:c r="B10" s="9" t="inlineStr">
        <x:is>
          <x:t xml:space="preserve">Road Network &amp; Access Vulnerability</x:t>
        </x:is>
      </x:c>
      <x:c r="C10" s="9" t="inlineStr">
        <x:is>
          <x:t xml:space="preserve">JM</x:t>
        </x:is>
      </x:c>
      <x:c r="D10" s="9" t="inlineStr">
        <x:is>
          <x:t xml:space="preserve">NWA ArcGIS ALL Jamaica Roads + OpenStreetMap/Geofabrik</x:t>
        </x:is>
      </x:c>
      <x:c r="E10" s="9" t="inlineStr">
        <x:is>
          <x:t xml:space="preserve">https://services6.arcgis.com/3R3y1KXaPJ9BFnsU/arcgis/rest/services/School_Zone_Mapping/FeatureServer/20 | https://download.geofabrik.de/central-america/jamaica.html</x:t>
        </x:is>
      </x:c>
      <x:c r="F10" s="9" t="inlineStr">
        <x:is>
          <x:t xml:space="preserve">2026-03-26</x:t>
        </x:is>
      </x:c>
      <x:c r="G10" s="9" t="inlineStr">
        <x:is>
          <x:t xml:space="preserve">No raw export downloaded; ArcGIS/OSM extraction pending</x:t>
        </x:is>
      </x:c>
      <x:c r="H10" s="9" t="inlineStr">
        <x:is>
          <x:t xml:space="preserve">Feature service / GeoJSON / PBF / shapefile</x:t>
        </x:is>
      </x:c>
      <x:c r="I10" s="9" t="inlineStr">
        <x:is>
          <x:t xml:space="preserve">Road-segment level</x:t>
        </x:is>
      </x:c>
      <x:c r="J10" s="9" t="inlineStr">
        <x:is>
          <x:t xml:space="preserve">National</x:t>
        </x:is>
      </x:c>
      <x:c r="K10" s="9" t="inlineStr">
        <x:is>
          <x:t xml:space="preserve">Public feature service + public OSM extract</x:t>
        </x:is>
      </x:c>
      <x:c r="L10" s="9" t="inlineStr">
        <x:is>
          <x:t xml:space="preserve">Free</x:t>
        </x:is>
      </x:c>
      <x:c r="M10" s="12" t="inlineStr">
        <x:is>
          <x:t xml:space="preserve">Good</x:t>
        </x:is>
      </x:c>
      <x:c r="N10" s="9" t="inlineStr">
        <x:is>
          <x:t xml:space="preserve">Excellent base road geometry is available. Flood-prone access vulnerability still needs overlay against flood / storm / landslide layers.</x:t>
        </x:is>
      </x:c>
    </x:row>
    <x:row r="11">
      <x:c r="A11" s="9" t="inlineStr">
        <x:is>
          <x:t xml:space="preserve">2.4</x:t>
        </x:is>
      </x:c>
      <x:c r="B11" s="9" t="inlineStr">
        <x:is>
          <x:t xml:space="preserve">Geotechnical / Soil Data</x:t>
        </x:is>
      </x:c>
      <x:c r="C11" s="9" t="inlineStr">
        <x:is>
          <x:t xml:space="preserve">JM</x:t>
        </x:is>
      </x:c>
      <x:c r="D11" s="9" t="inlineStr">
        <x:is>
          <x:t xml:space="preserve">Mines &amp; Geology Division + WRA soils layer + SoilGrids</x:t>
        </x:is>
      </x:c>
      <x:c r="E11" s="9" t="inlineStr">
        <x:is>
          <x:t xml:space="preserve">https://mgd.gov.jm/ | https://webmap.wra.gov.jm/ | https://soilgrids.org/</x:t>
        </x:is>
      </x:c>
      <x:c r="F11" s="9" t="inlineStr">
        <x:is>
          <x:t xml:space="preserve">2026-03-26</x:t>
        </x:is>
      </x:c>
      <x:c r="G11" s="9" t="inlineStr">
        <x:is>
          <x:t xml:space="preserve">No combined geotechnical layer downloaded</x:t>
        </x:is>
      </x:c>
      <x:c r="H11" s="9" t="inlineStr">
        <x:is>
          <x:t xml:space="preserve">Maps / raster / requestable GIS</x:t>
        </x:is>
      </x:c>
      <x:c r="I11" s="9" t="inlineStr">
        <x:is>
          <x:t xml:space="preserve">National susceptibility maps + 250m global soil fallback</x:t>
        </x:is>
      </x:c>
      <x:c r="J11" s="9" t="inlineStr">
        <x:is>
          <x:t xml:space="preserve">National</x:t>
        </x:is>
      </x:c>
      <x:c r="K11" s="9" t="inlineStr">
        <x:is>
          <x:t xml:space="preserve">Public maps + public fallback + request</x:t>
        </x:is>
      </x:c>
      <x:c r="L11" s="9" t="inlineStr">
        <x:is>
          <x:t xml:space="preserve">Free / request</x:t>
        </x:is>
      </x:c>
      <x:c r="M11" s="10" t="inlineStr">
        <x:is>
          <x:t xml:space="preserve">Partial</x:t>
        </x:is>
      </x:c>
      <x:c r="N11" s="9" t="inlineStr">
        <x:is>
          <x:t xml:space="preserve">Strong components exist for landslide susceptibility and soil classes, but parcel-ready bearing capacity / liquefaction coverage was not confirmed as open.</x:t>
        </x:is>
      </x:c>
    </x:row>
    <x:row r="12">
      <x:c r="A12" s="9" t="inlineStr">
        <x:is>
          <x:t xml:space="preserve">2.5</x:t>
        </x:is>
      </x:c>
      <x:c r="B12" s="9" t="inlineStr">
        <x:is>
          <x:t xml:space="preserve">Power Grid Reliability</x:t>
        </x:is>
      </x:c>
      <x:c r="C12" s="9" t="inlineStr">
        <x:is>
          <x:t xml:space="preserve">JM</x:t>
        </x:is>
      </x:c>
      <x:c r="D12" s="9" t="inlineStr">
        <x:is>
          <x:t xml:space="preserve">JPS annual filing / OUR / utility regulatory sources</x:t>
        </x:is>
      </x:c>
      <x:c r="E12" s="9" t="inlineStr">
        <x:is>
          <x:t xml:space="preserve">https://our.org.jm/wp-content/uploads/2022/05/JPS-Annual-Filing-2022-FINAL_May-10-2022.pdf | https://our.org.jm/</x:t>
        </x:is>
      </x:c>
      <x:c r="F12" s="9" t="inlineStr">
        <x:is>
          <x:t xml:space="preserve">2026-03-26</x:t>
        </x:is>
      </x:c>
      <x:c r="G12" s="9" t="inlineStr">
        <x:is>
          <x:t xml:space="preserve">JM/raw_data/jps_annual_filing_2022.pdf</x:t>
        </x:is>
      </x:c>
      <x:c r="H12" s="9" t="inlineStr">
        <x:is>
          <x:t xml:space="preserve">PDF / tabular reliability indicators</x:t>
        </x:is>
      </x:c>
      <x:c r="I12" s="9" t="inlineStr">
        <x:is>
          <x:t xml:space="preserve">System-wide annual reliability metrics</x:t>
        </x:is>
      </x:c>
      <x:c r="J12" s="9" t="inlineStr">
        <x:is>
          <x:t xml:space="preserve">National</x:t>
        </x:is>
      </x:c>
      <x:c r="K12" s="9" t="inlineStr">
        <x:is>
          <x:t xml:space="preserve">Public PDF</x:t>
        </x:is>
      </x:c>
      <x:c r="L12" s="9" t="inlineStr">
        <x:is>
          <x:t xml:space="preserve">Free</x:t>
        </x:is>
      </x:c>
      <x:c r="M12" s="10" t="inlineStr">
        <x:is>
          <x:t xml:space="preserve">Partial</x:t>
        </x:is>
      </x:c>
      <x:c r="N12" s="9" t="inlineStr">
        <x:is>
          <x:t xml:space="preserve">Still Partial. System-wide reliability metrics are public, but the brief wants service-district or parish-level reliability, which was not publicly secured.</x:t>
        </x:is>
      </x:c>
    </x:row>
    <x:row r="13">
      <x:c r="A13" s="9" t="inlineStr">
        <x:is>
          <x:t xml:space="preserve">3.1</x:t>
        </x:is>
      </x:c>
      <x:c r="B13" s="9" t="inlineStr">
        <x:is>
          <x:t xml:space="preserve">Population Density Grids</x:t>
        </x:is>
      </x:c>
      <x:c r="C13" s="9" t="inlineStr">
        <x:is>
          <x:t xml:space="preserve">JM</x:t>
        </x:is>
      </x:c>
      <x:c r="D13" s="9" t="inlineStr">
        <x:is>
          <x:t xml:space="preserve">WorldPop Jamaica population raster + GOJ Population Density by Parish 2022 backup</x:t>
        </x:is>
      </x:c>
      <x:c r="E13" s="9" t="inlineStr">
        <x:is>
          <x:t xml:space="preserve">https://hub.worldpop.org/geodata/summary?id=6491 | https://services6.arcgis.com/3R3y1KXaPJ9BFnsU/ArcGIS/rest/services/Population_Density_by_Parish_2022_WFL1/FeatureServer</x:t>
        </x:is>
      </x:c>
      <x:c r="F13" s="9" t="inlineStr">
        <x:is>
          <x:t xml:space="preserve">2026-03-26</x:t>
        </x:is>
      </x:c>
      <x:c r="G13" s="9" t="inlineStr">
        <x:is>
          <x:t xml:space="preserve">00_REGIONAL/raw_data/worldpop_jamaica_2020_100m.tif</x:t>
        </x:is>
      </x:c>
      <x:c r="H13" s="9" t="inlineStr">
        <x:is>
          <x:t xml:space="preserve">GeoTIFF</x:t>
        </x:is>
      </x:c>
      <x:c r="I13" s="9" t="inlineStr">
        <x:is>
          <x:t xml:space="preserve">~100m</x:t>
        </x:is>
      </x:c>
      <x:c r="J13" s="9" t="inlineStr">
        <x:is>
          <x:t xml:space="preserve">National</x:t>
        </x:is>
      </x:c>
      <x:c r="K13" s="9" t="inlineStr">
        <x:is>
          <x:t xml:space="preserve">Public download</x:t>
        </x:is>
      </x:c>
      <x:c r="L13" s="9" t="inlineStr">
        <x:is>
          <x:t xml:space="preserve">Free</x:t>
        </x:is>
      </x:c>
      <x:c r="M13" s="12" t="inlineStr">
        <x:is>
          <x:t xml:space="preserve">Good</x:t>
        </x:is>
      </x:c>
      <x:c r="N13" s="9" t="inlineStr">
        <x:is>
          <x:t xml:space="preserve">Direct raster captured. Tightening pass also identified an official parish-density service as a cross-check / QA layer.</x:t>
        </x:is>
      </x:c>
    </x:row>
    <x:row r="14">
      <x:c r="A14" s="9" t="inlineStr">
        <x:is>
          <x:t xml:space="preserve">3.2</x:t>
        </x:is>
      </x:c>
      <x:c r="B14" s="9" t="inlineStr">
        <x:is>
          <x:t xml:space="preserve">Sensitive Receptor Mapping</x:t>
        </x:is>
      </x:c>
      <x:c r="C14" s="9" t="inlineStr">
        <x:is>
          <x:t xml:space="preserve">JM</x:t>
        </x:is>
      </x:c>
      <x:c r="D14" s="9" t="inlineStr">
        <x:is>
          <x:t xml:space="preserve">Jamaica Open Data health facilities + OSM / Geofabrik</x:t>
        </x:is>
      </x:c>
      <x:c r="E14" s="9" t="inlineStr">
        <x:is>
          <x:t xml:space="preserve">https://data.gov.jm/ | https://download.geofabrik.de/central-america/jamaica.html</x:t>
        </x:is>
      </x:c>
      <x:c r="F14" s="9" t="inlineStr">
        <x:is>
          <x:t xml:space="preserve">2026-03-26</x:t>
        </x:is>
      </x:c>
      <x:c r="G14" s="9" t="inlineStr">
        <x:is>
          <x:t xml:space="preserve">JM/raw_data/jm_hospitals.csv | JM/raw_data/jm_public_health_centres_and_hospitals.csv | JM/raw_data/jm_health_centres_with_geospatial_info.csv</x:t>
        </x:is>
      </x:c>
      <x:c r="H14" s="9" t="inlineStr">
        <x:is>
          <x:t xml:space="preserve">CSV points + OSM extract</x:t>
        </x:is>
      </x:c>
      <x:c r="I14" s="9" t="inlineStr">
        <x:is>
          <x:t xml:space="preserve">Facility point level</x:t>
        </x:is>
      </x:c>
      <x:c r="J14" s="9" t="inlineStr">
        <x:is>
          <x:t xml:space="preserve">National</x:t>
        </x:is>
      </x:c>
      <x:c r="K14" s="9" t="inlineStr">
        <x:is>
          <x:t xml:space="preserve">Public download</x:t>
        </x:is>
      </x:c>
      <x:c r="L14" s="9" t="inlineStr">
        <x:is>
          <x:t xml:space="preserve">Free</x:t>
        </x:is>
      </x:c>
      <x:c r="M14" s="12" t="inlineStr">
        <x:is>
          <x:t xml:space="preserve">Good</x:t>
        </x:is>
      </x:c>
      <x:c r="N14" s="9" t="inlineStr">
        <x:is>
          <x:t xml:space="preserve">Health facilities are already captured as CSV point data; OSM can supply schools, churches, markets and other receptor categories.</x:t>
        </x:is>
      </x:c>
    </x:row>
    <x:row r="15">
      <x:c r="A15" s="9" t="inlineStr">
        <x:is>
          <x:t xml:space="preserve">3.3</x:t>
        </x:is>
      </x:c>
      <x:c r="B15" s="9" t="inlineStr">
        <x:is>
          <x:t xml:space="preserve">Health Burden Data</x:t>
        </x:is>
      </x:c>
      <x:c r="C15" s="9" t="inlineStr">
        <x:is>
          <x:t xml:space="preserve">JM</x:t>
        </x:is>
      </x:c>
      <x:c r="D15" s="9" t="inlineStr">
        <x:is>
          <x:t xml:space="preserve">MOHW parish mortality / PYLL layers + weekly surveillance bulletins + PAHO/WHO</x:t>
        </x:is>
      </x:c>
      <x:c r="E15" s="9" t="inlineStr">
        <x:is>
          <x:t xml:space="preserve">https://www.moh.gov.jm/ | https://services6.arcgis.com/3R3y1KXaPJ9BFnsU/ArcGIS/rest/services/All_Cause_mortality/FeatureServer | https://services6.arcgis.com/3R3y1KXaPJ9BFnsU/ArcGIS/rest/services/Potential_Years_of_Life_Lost_by_Parish/FeatureServer | https://services6.arcgis.com/3R3y1KXaPJ9BFnsU/ArcGIS/rest/services/Premature_Mortality_by_Parish/FeatureServer | https://www.moh.gov.jm/wp-content/uploads/2026/03/Weekly-Bulletin-EW-8-2026.pdf</x:t>
        </x:is>
      </x:c>
      <x:c r="F15" s="9" t="inlineStr">
        <x:is>
          <x:t xml:space="preserve">2026-03-26</x:t>
        </x:is>
      </x:c>
      <x:c r="G15" s="9" t="inlineStr">
        <x:is>
          <x:t xml:space="preserve">JM/raw_data/mohw_weekly_bulletin_ew8_2026.pdf</x:t>
        </x:is>
      </x:c>
      <x:c r="H15" s="9" t="inlineStr">
        <x:is>
          <x:t xml:space="preserve">Feature services / PDF bulletins / tables</x:t>
        </x:is>
      </x:c>
      <x:c r="I15" s="9" t="inlineStr">
        <x:is>
          <x:t xml:space="preserve">Parish / national</x:t>
        </x:is>
      </x:c>
      <x:c r="J15" s="9" t="inlineStr">
        <x:is>
          <x:t xml:space="preserve">National / parish</x:t>
        </x:is>
      </x:c>
      <x:c r="K15" s="9" t="inlineStr">
        <x:is>
          <x:t xml:space="preserve">Public ArcGIS services + public PDF reports</x:t>
        </x:is>
      </x:c>
      <x:c r="L15" s="9" t="inlineStr">
        <x:is>
          <x:t xml:space="preserve">Free</x:t>
        </x:is>
      </x:c>
      <x:c r="M15" s="10" t="inlineStr">
        <x:is>
          <x:t xml:space="preserve">Partial</x:t>
        </x:is>
      </x:c>
      <x:c r="N15" s="9" t="inlineStr">
        <x:is>
          <x:t xml:space="preserve">Tightening pass found multiple official parish-health layers (all-cause mortality, premature mortality, potential years of life lost) and a current 2026 weekly bulletin. It remains Partial because a single structured parish-level environmental / disease-burden table for direct ingestion was not secured, and some official series top out before 2026.</x:t>
        </x:is>
      </x:c>
    </x:row>
    <x:row r="16">
      <x:c r="A16" s="9" t="inlineStr">
        <x:is>
          <x:t xml:space="preserve">3.4</x:t>
        </x:is>
      </x:c>
      <x:c r="B16" s="9" t="inlineStr">
        <x:is>
          <x:t xml:space="preserve">Informal Settlement / Housing Quality</x:t>
        </x:is>
      </x:c>
      <x:c r="C16" s="9" t="inlineStr">
        <x:is>
          <x:t xml:space="preserve">JM</x:t>
        </x:is>
      </x:c>
      <x:c r="D16" s="9" t="inlineStr">
        <x:is>
          <x:t xml:space="preserve">STATIN SDG 11.1.1 + Google Open Buildings + Jamaica studies</x:t>
        </x:is>
      </x:c>
      <x:c r="E16" s="9" t="inlineStr">
        <x:is>
          <x:t xml:space="preserve">https://sdgnrp.statinja.gov.jm/11-1-1/ | https://sites.research.google/gr/open-buildings/</x:t>
        </x:is>
      </x:c>
      <x:c r="F16" s="9" t="inlineStr">
        <x:is>
          <x:t xml:space="preserve">2026-03-26</x:t>
        </x:is>
      </x:c>
      <x:c r="G16" s="9" t="inlineStr">
        <x:is>
          <x:t xml:space="preserve">No official settlement polygon layer downloaded</x:t>
        </x:is>
      </x:c>
      <x:c r="H16" s="9" t="inlineStr">
        <x:is>
          <x:t xml:space="preserve">Indicator table + building polygons + study PDFs</x:t>
        </x:is>
      </x:c>
      <x:c r="I16" s="9" t="inlineStr">
        <x:is>
          <x:t xml:space="preserve">National indicator + building-level proxy</x:t>
        </x:is>
      </x:c>
      <x:c r="J16" s="9" t="inlineStr">
        <x:is>
          <x:t xml:space="preserve">National / urban</x:t>
        </x:is>
      </x:c>
      <x:c r="K16" s="9" t="inlineStr">
        <x:is>
          <x:t xml:space="preserve">Public indicator + public building dataset</x:t>
        </x:is>
      </x:c>
      <x:c r="L16" s="9" t="inlineStr">
        <x:is>
          <x:t xml:space="preserve">Free</x:t>
        </x:is>
      </x:c>
      <x:c r="M16" s="10" t="inlineStr">
        <x:is>
          <x:t xml:space="preserve">Partial</x:t>
        </x:is>
      </x:c>
      <x:c r="N16" s="9" t="inlineStr">
        <x:is>
          <x:t xml:space="preserve">Country-specific indicator exists, but a unified official Jamaica polygon layer for informal settlements was not located in this pass.</x:t>
        </x:is>
      </x:c>
    </x:row>
    <x:row r="17">
      <x:c r="A17" s="9" t="inlineStr">
        <x:is>
          <x:t xml:space="preserve">3.5</x:t>
        </x:is>
      </x:c>
      <x:c r="B17" s="9" t="inlineStr">
        <x:is>
          <x:t xml:space="preserve">Employment &amp; Livelihood Data</x:t>
        </x:is>
      </x:c>
      <x:c r="C17" s="9" t="inlineStr">
        <x:is>
          <x:t xml:space="preserve">JM</x:t>
        </x:is>
      </x:c>
      <x:c r="D17" s="9" t="inlineStr">
        <x:is>
          <x:t xml:space="preserve">STATIN labour force tables + Formal/Informal Employment by Industry service</x:t>
        </x:is>
      </x:c>
      <x:c r="E17" s="9" t="inlineStr">
        <x:is>
          <x:t xml:space="preserve">https://statinja.gov.jm/labourforce/EmployedLabourForceByIndustryGroup.aspx | https://services6.arcgis.com/3R3y1KXaPJ9BFnsU/ArcGIS/rest/services/Formal_Informal_Employment_by_Industry/FeatureServer</x:t>
        </x:is>
      </x:c>
      <x:c r="F17" s="9" t="inlineStr">
        <x:is>
          <x:t xml:space="preserve">2026-03-26</x:t>
        </x:is>
      </x:c>
      <x:c r="G17" s="9" t="inlineStr">
        <x:is>
          <x:t xml:space="preserve">No GIS livelihood map downloaded</x:t>
        </x:is>
      </x:c>
      <x:c r="H17" s="9" t="inlineStr">
        <x:is>
          <x:t xml:space="preserve">Tabular</x:t>
        </x:is>
      </x:c>
      <x:c r="I17" s="9" t="inlineStr">
        <x:is>
          <x:t xml:space="preserve">Parish / national</x:t>
        </x:is>
      </x:c>
      <x:c r="J17" s="9" t="inlineStr">
        <x:is>
          <x:t xml:space="preserve">National</x:t>
        </x:is>
      </x:c>
      <x:c r="K17" s="9" t="inlineStr">
        <x:is>
          <x:t xml:space="preserve">Public tables</x:t>
        </x:is>
      </x:c>
      <x:c r="L17" s="9" t="inlineStr">
        <x:is>
          <x:t xml:space="preserve">Free</x:t>
        </x:is>
      </x:c>
      <x:c r="M17" s="10" t="inlineStr">
        <x:is>
          <x:t xml:space="preserve">Partial</x:t>
        </x:is>
      </x:c>
      <x:c r="N17" s="9" t="inlineStr">
        <x:is>
          <x:t xml:space="preserve">Tightening pass identified an official employment-by-industry service/table, but it is not yet parish-mapped in the way the brief ideally wants, so 3.5 remains Partial.</x:t>
        </x:is>
      </x:c>
    </x:row>
    <x:row r="18">
      <x:c r="A18" s="9" t="inlineStr">
        <x:is>
          <x:t xml:space="preserve">4.1</x:t>
        </x:is>
      </x:c>
      <x:c r="B18" s="9" t="inlineStr">
        <x:is>
          <x:t xml:space="preserve">Protected Area Boundaries</x:t>
        </x:is>
      </x:c>
      <x:c r="C18" s="9" t="inlineStr">
        <x:is>
          <x:t xml:space="preserve">JM</x:t>
        </x:is>
      </x:c>
      <x:c r="D18" s="9" t="inlineStr">
        <x:is>
          <x:t xml:space="preserve">Forestry Department / GOJ Protected Areas Jamaica service + WDPA backup</x:t>
        </x:is>
      </x:c>
      <x:c r="E18" s="9" t="inlineStr">
        <x:is>
          <x:t xml:space="preserve">https://services6.arcgis.com/3R3y1KXaPJ9BFnsU/ArcGIS/rest/services/Protected_Areas_Jamaica/FeatureServer | https://www.protectedplanet.net/country/JAM</x:t>
        </x:is>
      </x:c>
      <x:c r="F18" s="9" t="inlineStr">
        <x:is>
          <x:t xml:space="preserve">2026-03-26</x:t>
        </x:is>
      </x:c>
      <x:c r="G18" s="9" t="inlineStr">
        <x:is>
          <x:t xml:space="preserve">Public official service identified; WDPA backup retained</x:t>
        </x:is>
      </x:c>
      <x:c r="H18" s="9" t="inlineStr">
        <x:is>
          <x:t xml:space="preserve">GIS polygons</x:t>
        </x:is>
      </x:c>
      <x:c r="I18" s="9" t="inlineStr">
        <x:is>
          <x:t xml:space="preserve">Protected-area boundary polygons</x:t>
        </x:is>
      </x:c>
      <x:c r="J18" s="9" t="inlineStr">
        <x:is>
          <x:t xml:space="preserve">National</x:t>
        </x:is>
      </x:c>
      <x:c r="K18" s="9" t="inlineStr">
        <x:is>
          <x:t xml:space="preserve">Public download subject to terms</x:t>
        </x:is>
      </x:c>
      <x:c r="L18" s="9" t="inlineStr">
        <x:is>
          <x:t xml:space="preserve">Free</x:t>
        </x:is>
      </x:c>
      <x:c r="M18" s="12" t="inlineStr">
        <x:is>
          <x:t xml:space="preserve">Good</x:t>
        </x:is>
      </x:c>
      <x:c r="N18" s="9" t="inlineStr">
        <x:is>
          <x:t xml:space="preserve">Strengthened in the tightening pass. Jamaica has an official Protected_Areas_Jamaica feature service published under the Forestry Department / GOJ stack, with WDPA still kept as a backup and harmonization source.</x:t>
        </x:is>
      </x:c>
    </x:row>
    <x:row r="19">
      <x:c r="A19" s="9" t="inlineStr">
        <x:is>
          <x:t xml:space="preserve">4.2</x:t>
        </x:is>
      </x:c>
      <x:c r="B19" s="9" t="inlineStr">
        <x:is>
          <x:t xml:space="preserve">Zoning &amp; Land Use Designations</x:t>
        </x:is>
      </x:c>
      <x:c r="C19" s="9" t="inlineStr">
        <x:is>
          <x:t xml:space="preserve">JM</x:t>
        </x:is>
      </x:c>
      <x:c r="D19" s="9" t="inlineStr">
        <x:is>
          <x:t xml:space="preserve">GOJ Planning proposal layers + Local Planning Area boundaries + NEPA development orders</x:t>
        </x:is>
      </x:c>
      <x:c r="E19" s="9" t="inlineStr">
        <x:is>
          <x:t xml:space="preserve">https://services6.arcgis.com/3R3y1KXaPJ9BFnsU/ArcGIS/rest/services/Planning/FeatureServer | https://services6.arcgis.com/3R3y1KXaPJ9BFnsU/ArcGIS/rest/services/All_Island_Local_Planning_Area_Boundaries/FeatureServer | https://www.nepa.gov.jm/planning-and-development/town-and-country-plans</x:t>
        </x:is>
      </x:c>
      <x:c r="F19" s="9" t="inlineStr">
        <x:is>
          <x:t xml:space="preserve">2026-03-26</x:t>
        </x:is>
      </x:c>
      <x:c r="G19" s="9" t="inlineStr">
        <x:is>
          <x:t xml:space="preserve">Official planning services identified; parcel-ready full-island zoning still pending</x:t>
        </x:is>
      </x:c>
      <x:c r="H19" s="9" t="inlineStr">
        <x:is>
          <x:t xml:space="preserve">Feature services + PDFs / maps</x:t>
        </x:is>
      </x:c>
      <x:c r="I19" s="9" t="inlineStr">
        <x:is>
          <x:t xml:space="preserve">Planning-area / proposal polygons; not yet full parcel-ready islandwide zoning</x:t>
        </x:is>
      </x:c>
      <x:c r="J19" s="9" t="inlineStr">
        <x:is>
          <x:t xml:space="preserve">National / local planning areas</x:t>
        </x:is>
      </x:c>
      <x:c r="K19" s="9" t="inlineStr">
        <x:is>
          <x:t xml:space="preserve">Public ArcGIS services + public planning PDFs + agency follow-up</x:t>
        </x:is>
      </x:c>
      <x:c r="L19" s="9" t="inlineStr">
        <x:is>
          <x:t xml:space="preserve">Free / request</x:t>
        </x:is>
      </x:c>
      <x:c r="M19" s="10" t="inlineStr">
        <x:is>
          <x:t xml:space="preserve">Partial</x:t>
        </x:is>
      </x:c>
      <x:c r="N19" s="9" t="inlineStr">
        <x:is>
          <x:t xml:space="preserve">This pass materially strengthened 4.2. Official proposal/use layers and all-island local planning area boundaries are visible publicly, but a clean, standardized, parcel-ready zoning polygon package for all Jamaica is still not assembled.</x:t>
        </x:is>
      </x:c>
    </x:row>
    <x:row r="20">
      <x:c r="A20" s="9" t="inlineStr">
        <x:is>
          <x:t xml:space="preserve">4.3</x:t>
        </x:is>
      </x:c>
      <x:c r="B20" s="9" t="inlineStr">
        <x:is>
          <x:t xml:space="preserve">EIA Requirement Triggers</x:t>
        </x:is>
      </x:c>
      <x:c r="C20" s="9" t="inlineStr">
        <x:is>
          <x:t xml:space="preserve">JM</x:t>
        </x:is>
      </x:c>
      <x:c r="D20" s="9" t="inlineStr">
        <x:is>
          <x:t xml:space="preserve">NEPA prescribed categories / permit and licence guidance</x:t>
        </x:is>
      </x:c>
      <x:c r="E20" s="9" t="inlineStr">
        <x:is>
          <x:t xml:space="preserve">https://www.nepa.gov.jm/permits | https://www.nepa.gov.jm/sites/default/files/2019-12/permit_and_licence.pdf | https://www.nepa.gov.jm/sites/default/files/2021-12/Prescribed-categories-amended-2015.pdf</x:t>
        </x:is>
      </x:c>
      <x:c r="F20" s="9" t="inlineStr">
        <x:is>
          <x:t xml:space="preserve">2026-03-26</x:t>
        </x:is>
      </x:c>
      <x:c r="G20" s="9" t="inlineStr">
        <x:is>
          <x:t xml:space="preserve">Public legal/rules references reviewed; no local raw file saved</x:t>
        </x:is>
      </x:c>
      <x:c r="H20" s="9" t="inlineStr">
        <x:is>
          <x:t xml:space="preserve">Tabular legal rules / PDF / web guidance</x:t>
        </x:is>
      </x:c>
      <x:c r="I20" s="9" t="inlineStr">
        <x:is>
          <x:t xml:space="preserve">National rules logic</x:t>
        </x:is>
      </x:c>
      <x:c r="J20" s="9" t="inlineStr">
        <x:is>
          <x:t xml:space="preserve">National</x:t>
        </x:is>
      </x:c>
      <x:c r="K20" s="9" t="inlineStr">
        <x:is>
          <x:t xml:space="preserve">Public web + public PDF</x:t>
        </x:is>
      </x:c>
      <x:c r="L20" s="9" t="inlineStr">
        <x:is>
          <x:t xml:space="preserve">Free</x:t>
        </x:is>
      </x:c>
      <x:c r="M20" s="12" t="inlineStr">
        <x:is>
          <x:t xml:space="preserve">Good</x:t>
        </x:is>
      </x:c>
      <x:c r="N20" s="9" t="inlineStr">
        <x:is>
          <x:t xml:space="preserve">Good. Jamaica continues to have one of the clearest public EIA / prescribed-category rule bases in the set, suitable for conversion into a rules engine.</x:t>
        </x:is>
      </x:c>
    </x:row>
    <x:row r="21">
      <x:c r="A21" s="9" t="inlineStr">
        <x:is>
          <x:t xml:space="preserve">4.4</x:t>
        </x:is>
      </x:c>
      <x:c r="B21" s="9" t="inlineStr">
        <x:is>
          <x:t xml:space="preserve">Permit Processing Timelines</x:t>
        </x:is>
      </x:c>
      <x:c r="C21" s="9" t="inlineStr">
        <x:is>
          <x:t xml:space="preserve">JM</x:t>
        </x:is>
      </x:c>
      <x:c r="D21" s="9" t="inlineStr">
        <x:is>
          <x:t xml:space="preserve">MLGCD Citizen's Charter + municipal corporation planning contacts + Doing Business references</x:t>
        </x:is>
      </x:c>
      <x:c r="E21" s="9" t="inlineStr">
        <x:is>
          <x:t xml:space="preserve">https://www.localgovjamaica.gov.jm/wp-content/uploads/2024/11/Citizens-Charter.pdf | https://www.localgovjamaica.gov.jm/</x:t>
        </x:is>
      </x:c>
      <x:c r="F21" s="9" t="inlineStr">
        <x:is>
          <x:t xml:space="preserve">2026-03-26</x:t>
        </x:is>
      </x:c>
      <x:c r="G21" s="9" t="inlineStr">
        <x:is>
          <x:t xml:space="preserve">No master timeline table downloaded</x:t>
        </x:is>
      </x:c>
      <x:c r="H21" s="9" t="inlineStr">
        <x:is>
          <x:t xml:space="preserve">Public PDF / web pages / manual compilation</x:t>
        </x:is>
      </x:c>
      <x:c r="I21" s="9" t="inlineStr">
        <x:is>
          <x:t xml:space="preserve">Process / parish contact level</x:t>
        </x:is>
      </x:c>
      <x:c r="J21" s="9" t="inlineStr">
        <x:is>
          <x:t xml:space="preserve">National / parish</x:t>
        </x:is>
      </x:c>
      <x:c r="K21" s="9" t="inlineStr">
        <x:is>
          <x:t xml:space="preserve">Public PDF + manual extraction + follow-up</x:t>
        </x:is>
      </x:c>
      <x:c r="L21" s="9" t="inlineStr">
        <x:is>
          <x:t xml:space="preserve">Free</x:t>
        </x:is>
      </x:c>
      <x:c r="M21" s="10" t="inlineStr">
        <x:is>
          <x:t xml:space="preserve">Partial</x:t>
        </x:is>
      </x:c>
      <x:c r="N21" s="9" t="inlineStr">
        <x:is>
          <x:t xml:space="preserve">Tightening pass identified the 2024 MLGCD Citizen's Charter and municipal-corporation contact structure, which materially improves the request path for 4.4. It remains Partial because a standardized historical table of average / median / p90 permit days by parish and project type was not found.</x:t>
        </x:is>
      </x:c>
    </x:row>
    <x:row r="22">
      <x:c r="A22" s="9" t="inlineStr">
        <x:is>
          <x:t xml:space="preserve">4.5</x:t>
        </x:is>
      </x:c>
      <x:c r="B22" s="9" t="inlineStr">
        <x:is>
          <x:t xml:space="preserve">Cultural Heritage &amp; Indigenous Sites</x:t>
        </x:is>
      </x:c>
      <x:c r="C22" s="9" t="inlineStr">
        <x:is>
          <x:t xml:space="preserve">JM</x:t>
        </x:is>
      </x:c>
      <x:c r="D22" s="9" t="inlineStr">
        <x:is>
          <x:t xml:space="preserve">JNHT heritage-site registry + UNESCO + Port Royal JNHT GIS components</x:t>
        </x:is>
      </x:c>
      <x:c r="E22" s="9" t="inlineStr">
        <x:is>
          <x:t xml:space="preserve">https://www.jnht.com/sites.php | https://whc.unesco.org/ | https://services6.arcgis.com/3R3y1KXaPJ9BFnsU/ArcGIS/rest/services/Port_Royal_JNHT/FeatureServer</x:t>
        </x:is>
      </x:c>
      <x:c r="F22" s="9" t="inlineStr">
        <x:is>
          <x:t xml:space="preserve">2026-03-26</x:t>
        </x:is>
      </x:c>
      <x:c r="G22" s="9" t="inlineStr">
        <x:is>
          <x:t xml:space="preserve">Public registry and localized GIS identified; national normalized GIS still pending</x:t>
        </x:is>
      </x:c>
      <x:c r="H22" s="9" t="inlineStr">
        <x:is>
          <x:t xml:space="preserve">Registry / point data / site pages / request</x:t>
        </x:is>
      </x:c>
      <x:c r="I22" s="9" t="inlineStr">
        <x:is>
          <x:t xml:space="preserve">Site-level</x:t>
        </x:is>
      </x:c>
      <x:c r="J22" s="9" t="inlineStr">
        <x:is>
          <x:t xml:space="preserve">National</x:t>
        </x:is>
      </x:c>
      <x:c r="K22" s="9" t="inlineStr">
        <x:is>
          <x:t xml:space="preserve">Public registry + request</x:t>
        </x:is>
      </x:c>
      <x:c r="L22" s="9" t="inlineStr">
        <x:is>
          <x:t xml:space="preserve">Free / request</x:t>
        </x:is>
      </x:c>
      <x:c r="M22" s="10" t="inlineStr">
        <x:is>
          <x:t xml:space="preserve">Partial</x:t>
        </x:is>
      </x:c>
      <x:c r="N22" s="9" t="inlineStr">
        <x:is>
          <x:t xml:space="preserve">Tightening pass identified a live JNHT national heritage-site catalog plus Port Royal spatial layers. The layer remains Partial because a single normalized Jamaica-wide heritage GIS package was not assembled.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b3920125e81c43f3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28" customWidth="1"/>
    <x:col min="3" max="3" width="44" customWidth="1"/>
    <x:col min="4" max="4" width="12" customWidth="1"/>
    <x:col min="5" max="5" width="55" customWidth="1"/>
  </x:cols>
  <x:sheetData>
    <x:row r="1">
      <x:c r="A1" s="8" t="inlineStr">
        <x:is>
          <x:t xml:space="preserve">Layer ID</x:t>
        </x:is>
      </x:c>
      <x:c r="B1" s="8" t="inlineStr">
        <x:is>
          <x:t xml:space="preserve">Candidate Source</x:t>
        </x:is>
      </x:c>
      <x:c r="C1" s="8" t="inlineStr">
        <x:is>
          <x:t xml:space="preserve">Source URL</x:t>
        </x:is>
      </x:c>
      <x:c r="D1" s="8" t="inlineStr">
        <x:is>
          <x:t xml:space="preserve">Status</x:t>
        </x:is>
      </x:c>
      <x:c r="E1" s="8" t="inlineStr">
        <x:is>
          <x:t xml:space="preserve">Notes</x:t>
        </x:is>
      </x:c>
    </x:row>
    <x:row r="2">
      <x:c r="A2" s="9" t="inlineStr">
        <x:is>
          <x:t xml:space="preserve">1.1</x:t>
        </x:is>
      </x:c>
      <x:c r="B2" s="9" t="inlineStr">
        <x:is>
          <x:t xml:space="preserve">WRA Maps</x:t>
        </x:is>
      </x:c>
      <x:c r="C2" s="9" t="inlineStr">
        <x:is>
          <x:t xml:space="preserve">https://www.wra.gov.jm/resources/maps/</x:t>
        </x:is>
      </x:c>
      <x:c r="D2" s="9" t="inlineStr">
        <x:is>
          <x:t xml:space="preserve">Lead</x:t>
        </x:is>
      </x:c>
      <x:c r="E2" s="9" t="inlineStr">
        <x:is>
          <x:t xml:space="preserve">Flood Plain Maps, Hydrological Divides and vulnerability-related mapping are publicly advertised.</x:t>
        </x:is>
      </x:c>
    </x:row>
    <x:row r="3">
      <x:c r="A3" s="9" t="inlineStr">
        <x:is>
          <x:t xml:space="preserve">1.1</x:t>
        </x:is>
      </x:c>
      <x:c r="B3" s="9" t="inlineStr">
        <x:is>
          <x:t xml:space="preserve">WRA Water Information System</x:t>
        </x:is>
      </x:c>
      <x:c r="C3" s="9" t="inlineStr">
        <x:is>
          <x:t xml:space="preserve">https://webmap.wra.gov.jm/</x:t>
        </x:is>
      </x:c>
      <x:c r="D3" s="9" t="inlineStr">
        <x:is>
          <x:t xml:space="preserve">Lead</x:t>
        </x:is>
      </x:c>
      <x:c r="E3" s="9" t="inlineStr">
        <x:is>
          <x:t xml:space="preserve">Guest/guest access advertised publicly; likely best direct source for Jamaica hydrology layers.</x:t>
        </x:is>
      </x:c>
    </x:row>
    <x:row r="4">
      <x:c r="A4" s="9" t="inlineStr">
        <x:is>
          <x:t xml:space="preserve">1.2</x:t>
        </x:is>
      </x:c>
      <x:c r="B4" s="9" t="inlineStr">
        <x:is>
          <x:t xml:space="preserve">Climate Central Surging Seas</x:t>
        </x:is>
      </x:c>
      <x:c r="C4" s="9" t="inlineStr">
        <x:is>
          <x:t xml:space="preserve">https://coastal.climatecentral.org/</x:t>
        </x:is>
      </x:c>
      <x:c r="D4" s="9" t="inlineStr">
        <x:is>
          <x:t xml:space="preserve">Lead</x:t>
        </x:is>
      </x:c>
      <x:c r="E4" s="9" t="inlineStr">
        <x:is>
          <x:t xml:space="preserve">Best immediate open coastal flood / sea-level screening source.</x:t>
        </x:is>
      </x:c>
    </x:row>
    <x:row r="5">
      <x:c r="A5" s="9" t="inlineStr">
        <x:is>
          <x:t xml:space="preserve">1.2</x:t>
        </x:is>
      </x:c>
      <x:c r="B5" s="9" t="inlineStr">
        <x:is>
          <x:t xml:space="preserve">ODPEM</x:t>
        </x:is>
      </x:c>
      <x:c r="C5" s="9" t="inlineStr">
        <x:is>
          <x:t xml:space="preserve">https://www.odpem.org.jm/</x:t>
        </x:is>
      </x:c>
      <x:c r="D5" s="9" t="inlineStr">
        <x:is>
          <x:t xml:space="preserve">Backup</x:t>
        </x:is>
      </x:c>
      <x:c r="E5" s="9" t="inlineStr">
        <x:is>
          <x:t xml:space="preserve">Potential national disaster-office source for surge/flood reports and operational mapping.</x:t>
        </x:is>
      </x:c>
    </x:row>
    <x:row r="6">
      <x:c r="A6" s="9" t="inlineStr">
        <x:is>
          <x:t xml:space="preserve">1.3</x:t>
        </x:is>
      </x:c>
      <x:c r="B6" s="9" t="inlineStr">
        <x:is>
          <x:t xml:space="preserve">Climate Central Surging Seas</x:t>
        </x:is>
      </x:c>
      <x:c r="C6" s="9" t="inlineStr">
        <x:is>
          <x:t xml:space="preserve">https://coastal.climatecentral.org/</x:t>
        </x:is>
      </x:c>
      <x:c r="D6" s="9" t="inlineStr">
        <x:is>
          <x:t xml:space="preserve">Lead</x:t>
        </x:is>
      </x:c>
      <x:c r="E6" s="9" t="inlineStr">
        <x:is>
          <x:t xml:space="preserve">Proxy for SLR screening across Jamaica.</x:t>
        </x:is>
      </x:c>
    </x:row>
    <x:row r="7">
      <x:c r="A7" s="9" t="inlineStr">
        <x:is>
          <x:t xml:space="preserve">1.4</x:t>
        </x:is>
      </x:c>
      <x:c r="B7" s="9" t="inlineStr">
        <x:is>
          <x:t xml:space="preserve">NEPA</x:t>
        </x:is>
      </x:c>
      <x:c r="C7" s="9" t="inlineStr">
        <x:is>
          <x:t xml:space="preserve">https://www.nepa.gov.jm/permits</x:t>
        </x:is>
      </x:c>
      <x:c r="D7" s="9" t="inlineStr">
        <x:is>
          <x:t xml:space="preserve">Lead</x:t>
        </x:is>
      </x:c>
      <x:c r="E7" s="9" t="inlineStr">
        <x:is>
          <x:t xml:space="preserve">Environmental permits and prescribed development oversight; likely source for contaminated/discharge-adjacent records.</x:t>
        </x:is>
      </x:c>
    </x:row>
    <x:row r="8">
      <x:c r="A8" s="9" t="inlineStr">
        <x:is>
          <x:t xml:space="preserve">1.4</x:t>
        </x:is>
      </x:c>
      <x:c r="B8" s="9" t="inlineStr">
        <x:is>
          <x:t xml:space="preserve">MOHW Environmental Monitoring GIS</x:t>
        </x:is>
      </x:c>
      <x:c r="C8" s="9" t="inlineStr">
        <x:is>
          <x:t xml:space="preserve">https://www.moh.gov.jm/</x:t>
        </x:is>
      </x:c>
      <x:c r="D8" s="9" t="inlineStr">
        <x:is>
          <x:t xml:space="preserve">Backup</x:t>
        </x:is>
      </x:c>
      <x:c r="E8" s="9" t="inlineStr">
        <x:is>
          <x:t xml:space="preserve">Environmental/public-health geospatial monitoring capability exists.</x:t>
        </x:is>
      </x:c>
    </x:row>
    <x:row r="9">
      <x:c r="A9" s="9" t="inlineStr">
        <x:is>
          <x:t xml:space="preserve">1.4</x:t>
        </x:is>
      </x:c>
      <x:c r="B9" s="9" t="inlineStr">
        <x:is>
          <x:t xml:space="preserve">NSWMA</x:t>
        </x:is>
      </x:c>
      <x:c r="C9" s="9" t="inlineStr">
        <x:is>
          <x:t xml:space="preserve">https://nswma.gov.jm/</x:t>
        </x:is>
      </x:c>
      <x:c r="D9" s="9" t="inlineStr">
        <x:is>
          <x:t xml:space="preserve">Backup</x:t>
        </x:is>
      </x:c>
      <x:c r="E9" s="9" t="inlineStr">
        <x:is>
          <x:t xml:space="preserve">Landfill/disposal site information is a practical contamination proxy component.</x:t>
        </x:is>
      </x:c>
    </x:row>
    <x:row r="10">
      <x:c r="A10" s="9" t="inlineStr">
        <x:is>
          <x:t xml:space="preserve">1.5</x:t>
        </x:is>
      </x:c>
      <x:c r="B10" s="9" t="inlineStr">
        <x:is>
          <x:t xml:space="preserve">NOAA IBTrACS</x:t>
        </x:is>
      </x:c>
      <x:c r="C10" s="9" t="inlineStr">
        <x:is>
          <x:t xml:space="preserve">https://www.ncei.noaa.gov/products/international-best-track-archive</x:t>
        </x:is>
      </x:c>
      <x:c r="D10" s="9" t="inlineStr">
        <x:is>
          <x:t xml:space="preserve">Lead</x:t>
        </x:is>
      </x:c>
      <x:c r="E10" s="9" t="inlineStr">
        <x:is>
          <x:t xml:space="preserve">Best basin-wide historical cyclone dataset.</x:t>
        </x:is>
      </x:c>
    </x:row>
    <x:row r="11">
      <x:c r="A11" s="9" t="inlineStr">
        <x:is>
          <x:t xml:space="preserve">1.6</x:t>
        </x:is>
      </x:c>
      <x:c r="B11" s="9" t="inlineStr">
        <x:is>
          <x:t xml:space="preserve">WRA Water Information System</x:t>
        </x:is>
      </x:c>
      <x:c r="C11" s="9" t="inlineStr">
        <x:is>
          <x:t xml:space="preserve">https://webmap.wra.gov.jm/</x:t>
        </x:is>
      </x:c>
      <x:c r="D11" s="9" t="inlineStr">
        <x:is>
          <x:t xml:space="preserve">Lead</x:t>
        </x:is>
      </x:c>
      <x:c r="E11" s="9" t="inlineStr">
        <x:is>
          <x:t xml:space="preserve">Publicly visible hydrobasin, watersheds, rivers, land-use related layers.</x:t>
        </x:is>
      </x:c>
    </x:row>
    <x:row r="12">
      <x:c r="A12" s="9" t="inlineStr">
        <x:is>
          <x:t xml:space="preserve">1.6</x:t>
        </x:is>
      </x:c>
      <x:c r="B12" s="9" t="inlineStr">
        <x:is>
          <x:t xml:space="preserve">HydroSHEDS / HydroBASINS</x:t>
        </x:is>
      </x:c>
      <x:c r="C12" s="9" t="inlineStr">
        <x:is>
          <x:t xml:space="preserve">https://www.hydrosheds.org/</x:t>
        </x:is>
      </x:c>
      <x:c r="D12" s="9" t="inlineStr">
        <x:is>
          <x:t xml:space="preserve">Backup</x:t>
        </x:is>
      </x:c>
      <x:c r="E12" s="9" t="inlineStr">
        <x:is>
          <x:t xml:space="preserve">Consistent regional fallback.</x:t>
        </x:is>
      </x:c>
    </x:row>
    <x:row r="13">
      <x:c r="A13" s="9" t="inlineStr">
        <x:is>
          <x:t xml:space="preserve">2.1</x:t>
        </x:is>
      </x:c>
      <x:c r="B13" s="9" t="inlineStr">
        <x:is>
          <x:t xml:space="preserve">WRI Aqueduct 4.0</x:t>
        </x:is>
      </x:c>
      <x:c r="C13" s="9" t="inlineStr">
        <x:is>
          <x:t xml:space="preserve">https://www.wri.org/aqueduct</x:t>
        </x:is>
      </x:c>
      <x:c r="D13" s="9" t="inlineStr">
        <x:is>
          <x:t xml:space="preserve">Lead</x:t>
        </x:is>
      </x:c>
      <x:c r="E13" s="9" t="inlineStr">
        <x:is>
          <x:t xml:space="preserve">Primary source named in the brief.</x:t>
        </x:is>
      </x:c>
    </x:row>
    <x:row r="14">
      <x:c r="A14" s="9" t="inlineStr">
        <x:is>
          <x:t xml:space="preserve">2.2</x:t>
        </x:is>
      </x:c>
      <x:c r="B14" s="9" t="inlineStr">
        <x:is>
          <x:t xml:space="preserve">JPS distribution map</x:t>
        </x:is>
      </x:c>
      <x:c r="C14" s="9" t="inlineStr">
        <x:is>
          <x:t xml:space="preserve">https://www.jpsco.com/wp-content/uploads/2024/01/REOI-973893-Map-of-JPS-Distribution-Network-by-Regions-1.pdf</x:t>
        </x:is>
      </x:c>
      <x:c r="D14" s="9" t="inlineStr">
        <x:is>
          <x:t xml:space="preserve">Lead</x:t>
        </x:is>
      </x:c>
      <x:c r="E14" s="9" t="inlineStr">
        <x:is>
          <x:t xml:space="preserve">Open network overview for electricity.</x:t>
        </x:is>
      </x:c>
    </x:row>
    <x:row r="15">
      <x:c r="A15" s="9" t="inlineStr">
        <x:is>
          <x:t xml:space="preserve">2.2</x:t>
        </x:is>
      </x:c>
      <x:c r="B15" s="9" t="inlineStr">
        <x:is>
          <x:t xml:space="preserve">NWC</x:t>
        </x:is>
      </x:c>
      <x:c r="C15" s="9" t="inlineStr">
        <x:is>
          <x:t xml:space="preserve">https://www.nwcjamaica.com/</x:t>
        </x:is>
      </x:c>
      <x:c r="D15" s="9" t="inlineStr">
        <x:is>
          <x:t xml:space="preserve">Lead</x:t>
        </x:is>
      </x:c>
      <x:c r="E15" s="9" t="inlineStr">
        <x:is>
          <x:t xml:space="preserve">Primary utility source for water/sewer service areas.</x:t>
        </x:is>
      </x:c>
    </x:row>
    <x:row r="16">
      <x:c r="A16" s="9" t="inlineStr">
        <x:is>
          <x:t xml:space="preserve">2.3</x:t>
        </x:is>
      </x:c>
      <x:c r="B16" s="9" t="inlineStr">
        <x:is>
          <x:t xml:space="preserve">NWA roads feature service</x:t>
        </x:is>
      </x:c>
      <x:c r="C16" s="9" t="inlineStr">
        <x:is>
          <x:t xml:space="preserve">https://services6.arcgis.com/3R3y1KXaPJ9BFnsU/arcgis/rest/services/School_Zone_Mapping/FeatureServer/20</x:t>
        </x:is>
      </x:c>
      <x:c r="D16" s="9" t="inlineStr">
        <x:is>
          <x:t xml:space="preserve">Lead</x:t>
        </x:is>
      </x:c>
      <x:c r="E16" s="9" t="inlineStr">
        <x:is>
          <x:t xml:space="preserve">Official public road feature service.</x:t>
        </x:is>
      </x:c>
    </x:row>
    <x:row r="17">
      <x:c r="A17" s="9" t="inlineStr">
        <x:is>
          <x:t xml:space="preserve">2.3</x:t>
        </x:is>
      </x:c>
      <x:c r="B17" s="9" t="inlineStr">
        <x:is>
          <x:t xml:space="preserve">Geofabrik Jamaica extract</x:t>
        </x:is>
      </x:c>
      <x:c r="C17" s="9" t="inlineStr">
        <x:is>
          <x:t xml:space="preserve">https://download.geofabrik.de/central-america/jamaica.html</x:t>
        </x:is>
      </x:c>
      <x:c r="D17" s="9" t="inlineStr">
        <x:is>
          <x:t xml:space="preserve">Backup</x:t>
        </x:is>
      </x:c>
      <x:c r="E17" s="9" t="inlineStr">
        <x:is>
          <x:t xml:space="preserve">Daily OSM extract.</x:t>
        </x:is>
      </x:c>
    </x:row>
    <x:row r="18">
      <x:c r="A18" s="9" t="inlineStr">
        <x:is>
          <x:t xml:space="preserve">2.4</x:t>
        </x:is>
      </x:c>
      <x:c r="B18" s="9" t="inlineStr">
        <x:is>
          <x:t xml:space="preserve">MGD</x:t>
        </x:is>
      </x:c>
      <x:c r="C18" s="9" t="inlineStr">
        <x:is>
          <x:t xml:space="preserve">https://mgd.gov.jm/</x:t>
        </x:is>
      </x:c>
      <x:c r="D18" s="9" t="inlineStr">
        <x:is>
          <x:t xml:space="preserve">Lead</x:t>
        </x:is>
      </x:c>
      <x:c r="E18" s="9" t="inlineStr">
        <x:is>
          <x:t xml:space="preserve">Geology and landslide susceptibility authority.</x:t>
        </x:is>
      </x:c>
    </x:row>
    <x:row r="19">
      <x:c r="A19" s="9" t="inlineStr">
        <x:is>
          <x:t xml:space="preserve">2.4</x:t>
        </x:is>
      </x:c>
      <x:c r="B19" s="9" t="inlineStr">
        <x:is>
          <x:t xml:space="preserve">SoilGrids</x:t>
        </x:is>
      </x:c>
      <x:c r="C19" s="9" t="inlineStr">
        <x:is>
          <x:t xml:space="preserve">https://soilgrids.org/</x:t>
        </x:is>
      </x:c>
      <x:c r="D19" s="9" t="inlineStr">
        <x:is>
          <x:t xml:space="preserve">Backup</x:t>
        </x:is>
      </x:c>
      <x:c r="E19" s="9" t="inlineStr">
        <x:is>
          <x:t xml:space="preserve">Mandatory fallback if national data is incomplete.</x:t>
        </x:is>
      </x:c>
    </x:row>
    <x:row r="20">
      <x:c r="A20" s="9" t="inlineStr">
        <x:is>
          <x:t xml:space="preserve">2.5</x:t>
        </x:is>
      </x:c>
      <x:c r="B20" s="9" t="inlineStr">
        <x:is>
          <x:t xml:space="preserve">OUR / JPS filing</x:t>
        </x:is>
      </x:c>
      <x:c r="C20" s="9" t="inlineStr">
        <x:is>
          <x:t xml:space="preserve">https://our.org.jm/wp-content/uploads/2022/05/JPS-Annual-Filing-2022-FINAL_May-10-2022.pdf</x:t>
        </x:is>
      </x:c>
      <x:c r="D20" s="9" t="inlineStr">
        <x:is>
          <x:t xml:space="preserve">Lead</x:t>
        </x:is>
      </x:c>
      <x:c r="E20" s="9" t="inlineStr">
        <x:is>
          <x:t xml:space="preserve">System reliability metrics available in public filing.</x:t>
        </x:is>
      </x:c>
    </x:row>
    <x:row r="21">
      <x:c r="A21" s="9" t="inlineStr">
        <x:is>
          <x:t xml:space="preserve">3.1</x:t>
        </x:is>
      </x:c>
      <x:c r="B21" s="9" t="inlineStr">
        <x:is>
          <x:t xml:space="preserve">WorldPop</x:t>
        </x:is>
      </x:c>
      <x:c r="C21" s="9" t="inlineStr">
        <x:is>
          <x:t xml:space="preserve">https://hub.worldpop.org/geodata/summary?id=6491</x:t>
        </x:is>
      </x:c>
      <x:c r="D21" s="9" t="inlineStr">
        <x:is>
          <x:t xml:space="preserve">Lead</x:t>
        </x:is>
      </x:c>
      <x:c r="E21" s="9" t="inlineStr">
        <x:is>
          <x:t xml:space="preserve">Downloaded raster available now.</x:t>
        </x:is>
      </x:c>
    </x:row>
    <x:row r="22">
      <x:c r="A22" s="9" t="inlineStr">
        <x:is>
          <x:t xml:space="preserve">3.2</x:t>
        </x:is>
      </x:c>
      <x:c r="B22" s="9" t="inlineStr">
        <x:is>
          <x:t xml:space="preserve">Jamaica Open Data - Hospitals</x:t>
        </x:is>
      </x:c>
      <x:c r="C22" s="9" t="inlineStr">
        <x:is>
          <x:t xml:space="preserve">https://data.gov.jm/</x:t>
        </x:is>
      </x:c>
      <x:c r="D22" s="9" t="inlineStr">
        <x:is>
          <x:t xml:space="preserve">Lead</x:t>
        </x:is>
      </x:c>
      <x:c r="E22" s="9" t="inlineStr">
        <x:is>
          <x:t xml:space="preserve">Downloaded facility CSVs.</x:t>
        </x:is>
      </x:c>
    </x:row>
    <x:row r="23">
      <x:c r="A23" s="9" t="inlineStr">
        <x:is>
          <x:t xml:space="preserve">3.2</x:t>
        </x:is>
      </x:c>
      <x:c r="B23" s="9" t="inlineStr">
        <x:is>
          <x:t xml:space="preserve">Geofabrik / OSM</x:t>
        </x:is>
      </x:c>
      <x:c r="C23" s="9" t="inlineStr">
        <x:is>
          <x:t xml:space="preserve">https://download.geofabrik.de/central-america/jamaica.html</x:t>
        </x:is>
      </x:c>
      <x:c r="D23" s="9" t="inlineStr">
        <x:is>
          <x:t xml:space="preserve">Lead</x:t>
        </x:is>
      </x:c>
      <x:c r="E23" s="9" t="inlineStr">
        <x:is>
          <x:t xml:space="preserve">For schools, markets, churches, day-care and other receptors.</x:t>
        </x:is>
      </x:c>
    </x:row>
    <x:row r="24">
      <x:c r="A24" s="9" t="inlineStr">
        <x:is>
          <x:t xml:space="preserve">3.3</x:t>
        </x:is>
      </x:c>
      <x:c r="B24" s="9" t="inlineStr">
        <x:is>
          <x:t xml:space="preserve">MOHW</x:t>
        </x:is>
      </x:c>
      <x:c r="C24" s="9" t="inlineStr">
        <x:is>
          <x:t xml:space="preserve">https://www.moh.gov.jm/</x:t>
        </x:is>
      </x:c>
      <x:c r="D24" s="9" t="inlineStr">
        <x:is>
          <x:t xml:space="preserve">Lead</x:t>
        </x:is>
      </x:c>
      <x:c r="E24" s="9" t="inlineStr">
        <x:is>
          <x:t xml:space="preserve">Primary health data institution.</x:t>
        </x:is>
      </x:c>
    </x:row>
    <x:row r="25">
      <x:c r="A25" s="9" t="inlineStr">
        <x:is>
          <x:t xml:space="preserve">3.3</x:t>
        </x:is>
      </x:c>
      <x:c r="B25" s="9" t="inlineStr">
        <x:is>
          <x:t xml:space="preserve">PAHO Jamaica</x:t>
        </x:is>
      </x:c>
      <x:c r="C25" s="9" t="inlineStr">
        <x:is>
          <x:t xml:space="preserve">https://www.paho.org/en/jamaica</x:t>
        </x:is>
      </x:c>
      <x:c r="D25" s="9" t="inlineStr">
        <x:is>
          <x:t xml:space="preserve">Backup</x:t>
        </x:is>
      </x:c>
      <x:c r="E25" s="9" t="inlineStr">
        <x:is>
          <x:t xml:space="preserve">Country health indicators and regional health context.</x:t>
        </x:is>
      </x:c>
    </x:row>
    <x:row r="26">
      <x:c r="A26" s="9" t="inlineStr">
        <x:is>
          <x:t xml:space="preserve">3.4</x:t>
        </x:is>
      </x:c>
      <x:c r="B26" s="9" t="inlineStr">
        <x:is>
          <x:t xml:space="preserve">STATIN SDG 11.1.1</x:t>
        </x:is>
      </x:c>
      <x:c r="C26" s="9" t="inlineStr">
        <x:is>
          <x:t xml:space="preserve">https://sdgnrp.statinja.gov.jm/11-1-1/</x:t>
        </x:is>
      </x:c>
      <x:c r="D26" s="9" t="inlineStr">
        <x:is>
          <x:t xml:space="preserve">Lead</x:t>
        </x:is>
      </x:c>
      <x:c r="E26" s="9" t="inlineStr">
        <x:is>
          <x:t xml:space="preserve">Country-specific informal-settlement indicator.</x:t>
        </x:is>
      </x:c>
    </x:row>
    <x:row r="27">
      <x:c r="A27" s="9" t="inlineStr">
        <x:is>
          <x:t xml:space="preserve">3.4</x:t>
        </x:is>
      </x:c>
      <x:c r="B27" s="9" t="inlineStr">
        <x:is>
          <x:t xml:space="preserve">Google Open Buildings</x:t>
        </x:is>
      </x:c>
      <x:c r="C27" s="9" t="inlineStr">
        <x:is>
          <x:t xml:space="preserve">https://sites.research.google/gr/open-buildings/</x:t>
        </x:is>
      </x:c>
      <x:c r="D27" s="9" t="inlineStr">
        <x:is>
          <x:t xml:space="preserve">Backup</x:t>
        </x:is>
      </x:c>
      <x:c r="E27" s="9" t="inlineStr">
        <x:is>
          <x:t xml:space="preserve">Spatial proxy for settlement extent and housing presence.</x:t>
        </x:is>
      </x:c>
    </x:row>
    <x:row r="28">
      <x:c r="A28" s="9" t="inlineStr">
        <x:is>
          <x:t xml:space="preserve">3.5</x:t>
        </x:is>
      </x:c>
      <x:c r="B28" s="9" t="inlineStr">
        <x:is>
          <x:t xml:space="preserve">STATIN labour force tables</x:t>
        </x:is>
      </x:c>
      <x:c r="C28" s="9" t="inlineStr">
        <x:is>
          <x:t xml:space="preserve">https://statinja.gov.jm/labourforce/EmployedLabourForceByIndustryGroup.aspx</x:t>
        </x:is>
      </x:c>
      <x:c r="D28" s="9" t="inlineStr">
        <x:is>
          <x:t xml:space="preserve">Lead</x:t>
        </x:is>
      </x:c>
      <x:c r="E28" s="9" t="inlineStr">
        <x:is>
          <x:t xml:space="preserve">Core public employment by industry source.</x:t>
        </x:is>
      </x:c>
    </x:row>
    <x:row r="29">
      <x:c r="A29" s="9" t="inlineStr">
        <x:is>
          <x:t xml:space="preserve">4.1</x:t>
        </x:is>
      </x:c>
      <x:c r="B29" s="9" t="inlineStr">
        <x:is>
          <x:t xml:space="preserve">Protected Planet / WDPA</x:t>
        </x:is>
      </x:c>
      <x:c r="C29" s="9" t="inlineStr">
        <x:is>
          <x:t xml:space="preserve">https://www.protectedplanet.net/en/thematic-areas/wdpa</x:t>
        </x:is>
      </x:c>
      <x:c r="D29" s="9" t="inlineStr">
        <x:is>
          <x:t xml:space="preserve">Lead</x:t>
        </x:is>
      </x:c>
      <x:c r="E29" s="9" t="inlineStr">
        <x:is>
          <x:t xml:space="preserve">Primary protected-area geometry source.</x:t>
        </x:is>
      </x:c>
    </x:row>
    <x:row r="30">
      <x:c r="A30" s="9" t="inlineStr">
        <x:is>
          <x:t xml:space="preserve">4.2</x:t>
        </x:is>
      </x:c>
      <x:c r="B30" s="9" t="inlineStr">
        <x:is>
          <x:t xml:space="preserve">NEPA town and country plans</x:t>
        </x:is>
      </x:c>
      <x:c r="C30" s="9" t="inlineStr">
        <x:is>
          <x:t xml:space="preserve">https://www.nepa.gov.jm/planning-and-development/town-and-country-plans</x:t>
        </x:is>
      </x:c>
      <x:c r="D30" s="9" t="inlineStr">
        <x:is>
          <x:t xml:space="preserve">Lead</x:t>
        </x:is>
      </x:c>
      <x:c r="E30" s="9" t="inlineStr">
        <x:is>
          <x:t xml:space="preserve">Public development orders and maps.</x:t>
        </x:is>
      </x:c>
    </x:row>
    <x:row r="31">
      <x:c r="A31" s="9" t="inlineStr">
        <x:is>
          <x:t xml:space="preserve">4.2</x:t>
        </x:is>
      </x:c>
      <x:c r="B31" s="9" t="inlineStr">
        <x:is>
          <x:t xml:space="preserve">eLandjamaica</x:t>
        </x:is>
      </x:c>
      <x:c r="C31" s="9" t="inlineStr">
        <x:is>
          <x:t xml:space="preserve">https://elandjamaica.nla.gov.jm/</x:t>
        </x:is>
      </x:c>
      <x:c r="D31" s="9" t="inlineStr">
        <x:is>
          <x:t xml:space="preserve">Backup</x:t>
        </x:is>
      </x:c>
      <x:c r="E31" s="9" t="inlineStr">
        <x:is>
          <x:t xml:space="preserve">Parcel and land info access, some free and some subscription.</x:t>
        </x:is>
      </x:c>
    </x:row>
    <x:row r="32">
      <x:c r="A32" s="9" t="inlineStr">
        <x:is>
          <x:t xml:space="preserve">4.3</x:t>
        </x:is>
      </x:c>
      <x:c r="B32" s="9" t="inlineStr">
        <x:is>
          <x:t xml:space="preserve">NEPA permits</x:t>
        </x:is>
      </x:c>
      <x:c r="C32" s="9" t="inlineStr">
        <x:is>
          <x:t xml:space="preserve">https://www.nepa.gov.jm/permits</x:t>
        </x:is>
      </x:c>
      <x:c r="D32" s="9" t="inlineStr">
        <x:is>
          <x:t xml:space="preserve">Lead</x:t>
        </x:is>
      </x:c>
      <x:c r="E32" s="9" t="inlineStr">
        <x:is>
          <x:t xml:space="preserve">Prescribed activities and approvals path.</x:t>
        </x:is>
      </x:c>
    </x:row>
    <x:row r="33">
      <x:c r="A33" s="9" t="inlineStr">
        <x:is>
          <x:t xml:space="preserve">4.4</x:t>
        </x:is>
      </x:c>
      <x:c r="B33" s="9" t="inlineStr">
        <x:is>
          <x:t xml:space="preserve">Local Government Jamaica</x:t>
        </x:is>
      </x:c>
      <x:c r="C33" s="9" t="inlineStr">
        <x:is>
          <x:t xml:space="preserve">https://www.localgovjamaica.gov.jm/</x:t>
        </x:is>
      </x:c>
      <x:c r="D33" s="9" t="inlineStr">
        <x:is>
          <x:t xml:space="preserve">Lead</x:t>
        </x:is>
      </x:c>
      <x:c r="E33" s="9" t="inlineStr">
        <x:is>
          <x:t xml:space="preserve">Process and service standards references.</x:t>
        </x:is>
      </x:c>
    </x:row>
    <x:row r="34">
      <x:c r="A34" s="9" t="inlineStr">
        <x:is>
          <x:t xml:space="preserve">4.5</x:t>
        </x:is>
      </x:c>
      <x:c r="B34" s="9" t="inlineStr">
        <x:is>
          <x:t xml:space="preserve">JNHT</x:t>
        </x:is>
      </x:c>
      <x:c r="C34" s="9" t="inlineStr">
        <x:is>
          <x:t xml:space="preserve">https://www.jnht.com/</x:t>
        </x:is>
      </x:c>
      <x:c r="D34" s="9" t="inlineStr">
        <x:is>
          <x:t xml:space="preserve">Lead</x:t>
        </x:is>
      </x:c>
      <x:c r="E34" s="9" t="inlineStr">
        <x:is>
          <x:t xml:space="preserve">National heritage authority.</x:t>
        </x:is>
      </x:c>
    </x:row>
    <x:row r="35">
      <x:c r="A35" s="9" t="inlineStr">
        <x:is>
          <x:t xml:space="preserve">4.5</x:t>
        </x:is>
      </x:c>
      <x:c r="B35" s="9" t="inlineStr">
        <x:is>
          <x:t xml:space="preserve">UNESCO WHC</x:t>
        </x:is>
      </x:c>
      <x:c r="C35" s="9" t="inlineStr">
        <x:is>
          <x:t xml:space="preserve">https://whc.unesco.org/</x:t>
        </x:is>
      </x:c>
      <x:c r="D35" s="9" t="inlineStr">
        <x:is>
          <x:t xml:space="preserve">Backup</x:t>
        </x:is>
      </x:c>
      <x:c r="E35" s="9" t="inlineStr">
        <x:is>
          <x:t xml:space="preserve">International heritage register / buffer context.</x:t>
        </x:is>
      </x:c>
    </x:row>
    <x:row r="36">
      <x:c r="A36" t="inlineStr">
        <x:is>
          <x:t xml:space="preserve">1.1</x:t>
        </x:is>
      </x:c>
      <x:c r="B36" t="inlineStr">
        <x:is>
          <x:t xml:space="preserve">WRA Flood Boundaries service</x:t>
        </x:is>
      </x:c>
      <x:c r="C36" t="inlineStr">
        <x:is>
          <x:t xml:space="preserve">https://gis2.mset.gov.jm/server/rest/services/Hosted/Flood_Boundaries/FeatureServer</x:t>
        </x:is>
      </x:c>
      <x:c r="D36" t="inlineStr">
        <x:is>
          <x:t xml:space="preserve">Lead</x:t>
        </x:is>
      </x:c>
      <x:c r="E36" t="inlineStr">
        <x:is>
          <x:t xml:space="preserve">Public official feature service; item notes limited coverage / incomplete data.</x:t>
        </x:is>
      </x:c>
    </x:row>
    <x:row r="37">
      <x:c r="A37" t="inlineStr">
        <x:is>
          <x:t xml:space="preserve">1.1</x:t>
        </x:is>
      </x:c>
      <x:c r="B37" t="inlineStr">
        <x:is>
          <x:t xml:space="preserve">WRA Flood Portal service</x:t>
        </x:is>
      </x:c>
      <x:c r="C37" t="inlineStr">
        <x:is>
          <x:t xml:space="preserve">https://gis2.mset.gov.jm/server/rest/services/Flood_Portal_WFL1/FeatureServer</x:t>
        </x:is>
      </x:c>
      <x:c r="D37" t="inlineStr">
        <x:is>
          <x:t xml:space="preserve">Lead</x:t>
        </x:is>
      </x:c>
      <x:c r="E37" t="inlineStr">
        <x:is>
          <x:t xml:space="preserve">Contains select floodplain layers and flood-boundary content.</x:t>
        </x:is>
      </x:c>
    </x:row>
    <x:row r="38">
      <x:c r="A38" t="inlineStr">
        <x:is>
          <x:t xml:space="preserve">1.2</x:t>
        </x:is>
      </x:c>
      <x:c r="B38" t="inlineStr">
        <x:is>
          <x:t xml:space="preserve">Port Antonio coastal inundation zones</x:t>
        </x:is>
      </x:c>
      <x:c r="C38" t="inlineStr">
        <x:is>
          <x:t xml:space="preserve">https://services6.arcgis.com/3R3y1KXaPJ9BFnsU/ArcGIS/rest/services/Port_Antonio_coastal_inundation_zones/FeatureServer</x:t>
        </x:is>
      </x:c>
      <x:c r="D38" t="inlineStr">
        <x:is>
          <x:t xml:space="preserve">Lead</x:t>
        </x:is>
      </x:c>
      <x:c r="E38" t="inlineStr">
        <x:is>
          <x:t xml:space="preserve">Official local coastal-inundation service.</x:t>
        </x:is>
      </x:c>
    </x:row>
    <x:row r="39">
      <x:c r="A39" t="inlineStr">
        <x:is>
          <x:t xml:space="preserve">1.2</x:t>
        </x:is>
      </x:c>
      <x:c r="B39" t="inlineStr">
        <x:is>
          <x:t xml:space="preserve">Port Maria coastal inundation zones</x:t>
        </x:is>
      </x:c>
      <x:c r="C39" t="inlineStr">
        <x:is>
          <x:t xml:space="preserve">https://services6.arcgis.com/3R3y1KXaPJ9BFnsU/ArcGIS/rest/services/Port_Maria_coastal_inundation_zones/FeatureServer</x:t>
        </x:is>
      </x:c>
      <x:c r="D39" t="inlineStr">
        <x:is>
          <x:t xml:space="preserve">Lead</x:t>
        </x:is>
      </x:c>
      <x:c r="E39" t="inlineStr">
        <x:is>
          <x:t xml:space="preserve">Official local coastal-inundation service.</x:t>
        </x:is>
      </x:c>
    </x:row>
    <x:row r="40">
      <x:c r="A40" t="inlineStr">
        <x:is>
          <x:t xml:space="preserve">1.4</x:t>
        </x:is>
      </x:c>
      <x:c r="B40" t="inlineStr">
        <x:is>
          <x:t xml:space="preserve">NEPA PRTR 2021 service</x:t>
        </x:is>
      </x:c>
      <x:c r="C40" t="inlineStr">
        <x:is>
          <x:t xml:space="preserve">https://gis2.mset.gov.jm/server/rest/services/Pollutant_Release_Transfer_Register_WFL1/FeatureServer</x:t>
        </x:is>
      </x:c>
      <x:c r="D40" t="inlineStr">
        <x:is>
          <x:t xml:space="preserve">Lead</x:t>
        </x:is>
      </x:c>
      <x:c r="E40" t="inlineStr">
        <x:is>
          <x:t xml:space="preserve">Trade effluent and sewage facility layers with related reports.</x:t>
        </x:is>
      </x:c>
    </x:row>
    <x:row r="41">
      <x:c r="A41" t="inlineStr">
        <x:is>
          <x:t xml:space="preserve">1.4</x:t>
        </x:is>
      </x:c>
      <x:c r="B41" t="inlineStr">
        <x:is>
          <x:t xml:space="preserve">NEPA PRTR 2023 service</x:t>
        </x:is>
      </x:c>
      <x:c r="C41" t="inlineStr">
        <x:is>
          <x:t xml:space="preserve">https://gis2.mset.gov.jm/server/rest/services/PRTR2023_WFL1/FeatureServer</x:t>
        </x:is>
      </x:c>
      <x:c r="D41" t="inlineStr">
        <x:is>
          <x:t xml:space="preserve">Lead</x:t>
        </x:is>
      </x:c>
      <x:c r="E41" t="inlineStr">
        <x:is>
          <x:t xml:space="preserve">Air-quality facility and report tables.</x:t>
        </x:is>
      </x:c>
    </x:row>
    <x:row r="42">
      <x:c r="A42" t="inlineStr">
        <x:is>
          <x:t xml:space="preserve">1.4</x:t>
        </x:is>
      </x:c>
      <x:c r="B42" t="inlineStr">
        <x:is>
          <x:t xml:space="preserve">NEPA PRTR latest service</x:t>
        </x:is>
      </x:c>
      <x:c r="C42" t="inlineStr">
        <x:is>
          <x:t xml:space="preserve">https://gis2.mset.gov.jm/server/rest/services/PRTR_2021_Latest_Service/FeatureServer</x:t>
        </x:is>
      </x:c>
      <x:c r="D42" t="inlineStr">
        <x:is>
          <x:t xml:space="preserve">Backup</x:t>
        </x:is>
      </x:c>
      <x:c r="E42" t="inlineStr">
        <x:is>
          <x:t xml:space="preserve">Older but still useful national pollutant-release layers.</x:t>
        </x:is>
      </x:c>
    </x:row>
    <x:row r="43">
      <x:c r="A43" t="inlineStr">
        <x:is>
          <x:t xml:space="preserve">3.3</x:t>
        </x:is>
      </x:c>
      <x:c r="B43" t="inlineStr">
        <x:is>
          <x:t xml:space="preserve">MOHW all-cause mortality service</x:t>
        </x:is>
      </x:c>
      <x:c r="C43" t="inlineStr">
        <x:is>
          <x:t xml:space="preserve">https://services6.arcgis.com/3R3y1KXaPJ9BFnsU/ArcGIS/rest/services/All_Cause_mortality/FeatureServer</x:t>
        </x:is>
      </x:c>
      <x:c r="D43" t="inlineStr">
        <x:is>
          <x:t xml:space="preserve">Lead</x:t>
        </x:is>
      </x:c>
      <x:c r="E43" t="inlineStr">
        <x:is>
          <x:t xml:space="preserve">Official parish-level mortality polygons.</x:t>
        </x:is>
      </x:c>
    </x:row>
    <x:row r="44">
      <x:c r="A44" t="inlineStr">
        <x:is>
          <x:t xml:space="preserve">3.3</x:t>
        </x:is>
      </x:c>
      <x:c r="B44" t="inlineStr">
        <x:is>
          <x:t xml:space="preserve">MOHW Potential Years of Life Lost service</x:t>
        </x:is>
      </x:c>
      <x:c r="C44" t="inlineStr">
        <x:is>
          <x:t xml:space="preserve">https://services6.arcgis.com/3R3y1KXaPJ9BFnsU/ArcGIS/rest/services/Potential_Years_of_Life_Lost_by_Parish/FeatureServer</x:t>
        </x:is>
      </x:c>
      <x:c r="D44" t="inlineStr">
        <x:is>
          <x:t xml:space="preserve">Backup</x:t>
        </x:is>
      </x:c>
      <x:c r="E44" t="inlineStr">
        <x:is>
          <x:t xml:space="preserve">Parish-level health-burden indicator.</x:t>
        </x:is>
      </x:c>
    </x:row>
    <x:row r="45">
      <x:c r="A45" t="inlineStr">
        <x:is>
          <x:t xml:space="preserve">3.3</x:t>
        </x:is>
      </x:c>
      <x:c r="B45" t="inlineStr">
        <x:is>
          <x:t xml:space="preserve">MOHW Premature Mortality service</x:t>
        </x:is>
      </x:c>
      <x:c r="C45" t="inlineStr">
        <x:is>
          <x:t xml:space="preserve">https://services6.arcgis.com/3R3y1KXaPJ9BFnsU/ArcGIS/rest/services/Premature_Mortality_by_Parish/FeatureServer</x:t>
        </x:is>
      </x:c>
      <x:c r="D45" t="inlineStr">
        <x:is>
          <x:t xml:space="preserve">Backup</x:t>
        </x:is>
      </x:c>
      <x:c r="E45" t="inlineStr">
        <x:is>
          <x:t xml:space="preserve">Parish-level health-burden indicator.</x:t>
        </x:is>
      </x:c>
    </x:row>
    <x:row r="46">
      <x:c r="A46" t="inlineStr">
        <x:is>
          <x:t xml:space="preserve">3.3</x:t>
        </x:is>
      </x:c>
      <x:c r="B46" t="inlineStr">
        <x:is>
          <x:t xml:space="preserve">MOHW Weekly Bulletin EW8 2026</x:t>
        </x:is>
      </x:c>
      <x:c r="C46" t="inlineStr">
        <x:is>
          <x:t xml:space="preserve">https://www.moh.gov.jm/wp-content/uploads/2026/03/Weekly-Bulletin-EW-8-2026.pdf</x:t>
        </x:is>
      </x:c>
      <x:c r="D46" t="inlineStr">
        <x:is>
          <x:t xml:space="preserve">Backup</x:t>
        </x:is>
      </x:c>
      <x:c r="E46" t="inlineStr">
        <x:is>
          <x:t xml:space="preserve">Current surveillance reference with all-parish reporting.</x:t>
        </x:is>
      </x:c>
    </x:row>
    <x:row r="47">
      <x:c r="A47" t="inlineStr">
        <x:is>
          <x:t xml:space="preserve">3.5</x:t>
        </x:is>
      </x:c>
      <x:c r="B47" t="inlineStr">
        <x:is>
          <x:t xml:space="preserve">Formal/Informal Employment by Industry service</x:t>
        </x:is>
      </x:c>
      <x:c r="C47" t="inlineStr">
        <x:is>
          <x:t xml:space="preserve">https://services6.arcgis.com/3R3y1KXaPJ9BFnsU/ArcGIS/rest/services/Formal_Informal_Employment_by_Industry/FeatureServer</x:t>
        </x:is>
      </x:c>
      <x:c r="D47" t="inlineStr">
        <x:is>
          <x:t xml:space="preserve">Lead</x:t>
        </x:is>
      </x:c>
      <x:c r="E47" t="inlineStr">
        <x:is>
          <x:t xml:space="preserve">Official industry employment table/service; geography still limited.</x:t>
        </x:is>
      </x:c>
    </x:row>
    <x:row r="48">
      <x:c r="A48" t="inlineStr">
        <x:is>
          <x:t xml:space="preserve">4.1</x:t>
        </x:is>
      </x:c>
      <x:c r="B48" t="inlineStr">
        <x:is>
          <x:t xml:space="preserve">Protected_Areas_Jamaica service</x:t>
        </x:is>
      </x:c>
      <x:c r="C48" t="inlineStr">
        <x:is>
          <x:t xml:space="preserve">https://services6.arcgis.com/3R3y1KXaPJ9BFnsU/ArcGIS/rest/services/Protected_Areas_Jamaica/FeatureServer</x:t>
        </x:is>
      </x:c>
      <x:c r="D48" t="inlineStr">
        <x:is>
          <x:t xml:space="preserve">Lead</x:t>
        </x:is>
      </x:c>
      <x:c r="E48" t="inlineStr">
        <x:is>
          <x:t xml:space="preserve">Official protected-area polygons published under GOJ / Forestry Department stack.</x:t>
        </x:is>
      </x:c>
    </x:row>
    <x:row r="49">
      <x:c r="A49" t="inlineStr">
        <x:is>
          <x:t xml:space="preserve">4.2</x:t>
        </x:is>
      </x:c>
      <x:c r="B49" t="inlineStr">
        <x:is>
          <x:t xml:space="preserve">Planning proposal layers</x:t>
        </x:is>
      </x:c>
      <x:c r="C49" t="inlineStr">
        <x:is>
          <x:t xml:space="preserve">https://services6.arcgis.com/3R3y1KXaPJ9BFnsU/ArcGIS/rest/services/Planning/FeatureServer</x:t>
        </x:is>
      </x:c>
      <x:c r="D49" t="inlineStr">
        <x:is>
          <x:t xml:space="preserve">Lead</x:t>
        </x:is>
      </x:c>
      <x:c r="E49" t="inlineStr">
        <x:is>
          <x:t xml:space="preserve">Official proposal/use layers for multiple planning areas.</x:t>
        </x:is>
      </x:c>
    </x:row>
    <x:row r="50">
      <x:c r="A50" t="inlineStr">
        <x:is>
          <x:t xml:space="preserve">4.2</x:t>
        </x:is>
      </x:c>
      <x:c r="B50" t="inlineStr">
        <x:is>
          <x:t xml:space="preserve">All Island Local Planning Area Boundaries</x:t>
        </x:is>
      </x:c>
      <x:c r="C50" t="inlineStr">
        <x:is>
          <x:t xml:space="preserve">https://services6.arcgis.com/3R3y1KXaPJ9BFnsU/ArcGIS/rest/services/All_Island_Local_Planning_Area_Boundaries/FeatureServer</x:t>
        </x:is>
      </x:c>
      <x:c r="D50" t="inlineStr">
        <x:is>
          <x:t xml:space="preserve">Lead</x:t>
        </x:is>
      </x:c>
      <x:c r="E50" t="inlineStr">
        <x:is>
          <x:t xml:space="preserve">National planning-area boundary layer.</x:t>
        </x:is>
      </x:c>
    </x:row>
    <x:row r="51">
      <x:c r="A51" t="inlineStr">
        <x:is>
          <x:t xml:space="preserve">4.4</x:t>
        </x:is>
      </x:c>
      <x:c r="B51" t="inlineStr">
        <x:is>
          <x:t xml:space="preserve">MLGCD Citizens Charter 2024</x:t>
        </x:is>
      </x:c>
      <x:c r="C51" t="inlineStr">
        <x:is>
          <x:t xml:space="preserve">https://www.localgovjamaica.gov.jm/wp-content/uploads/2024/11/Citizens-Charter.pdf</x:t>
        </x:is>
      </x:c>
      <x:c r="D51" t="inlineStr">
        <x:is>
          <x:t xml:space="preserve">Lead</x:t>
        </x:is>
      </x:c>
      <x:c r="E51" t="inlineStr">
        <x:is>
          <x:t xml:space="preserve">Contains ministry and municipal-corporation contact structure and ATI route.</x:t>
        </x:is>
      </x:c>
    </x:row>
    <x:row r="52">
      <x:c r="A52" t="inlineStr">
        <x:is>
          <x:t xml:space="preserve">4.5</x:t>
        </x:is>
      </x:c>
      <x:c r="B52" t="inlineStr">
        <x:is>
          <x:t xml:space="preserve">JNHT heritage sites registry</x:t>
        </x:is>
      </x:c>
      <x:c r="C52" t="inlineStr">
        <x:is>
          <x:t xml:space="preserve">https://www.jnht.com/sites.php</x:t>
        </x:is>
      </x:c>
      <x:c r="D52" t="inlineStr">
        <x:is>
          <x:t xml:space="preserve">Lead</x:t>
        </x:is>
      </x:c>
      <x:c r="E52" t="inlineStr">
        <x:is>
          <x:t xml:space="preserve">National heritage-site catalog by type/parish.</x:t>
        </x:is>
      </x:c>
    </x:row>
    <x:row r="53">
      <x:c r="A53" t="inlineStr">
        <x:is>
          <x:t xml:space="preserve">4.5</x:t>
        </x:is>
      </x:c>
      <x:c r="B53" t="inlineStr">
        <x:is>
          <x:t xml:space="preserve">Port Royal JNHT service</x:t>
        </x:is>
      </x:c>
      <x:c r="C53" t="inlineStr">
        <x:is>
          <x:t xml:space="preserve">https://services6.arcgis.com/3R3y1KXaPJ9BFnsU/ArcGIS/rest/services/Port_Royal_JNHT/FeatureServer</x:t>
        </x:is>
      </x:c>
      <x:c r="D53" t="inlineStr">
        <x:is>
          <x:t xml:space="preserve">Backup</x:t>
        </x:is>
      </x:c>
      <x:c r="E53" t="inlineStr">
        <x:is>
          <x:t xml:space="preserve">Localized official heritage / buffer geometry.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e874ad4d353643da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6" customWidth="1"/>
    <x:col min="3" max="3" width="38" customWidth="1"/>
    <x:col min="4" max="4" width="10" customWidth="1"/>
    <x:col min="5" max="5" width="14" customWidth="1"/>
    <x:col min="6" max="6" width="12" customWidth="1"/>
    <x:col min="7" max="7" width="44" customWidth="1"/>
    <x:col min="8" max="8" width="30" customWidth="1"/>
  </x:cols>
  <x:sheetData>
    <x:row r="1">
      <x:c r="A1" s="8" t="inlineStr">
        <x:is>
          <x:t xml:space="preserve">Folder</x:t>
        </x:is>
      </x:c>
      <x:c r="B1" s="8" t="inlineStr">
        <x:is>
          <x:t xml:space="preserve">File Name</x:t>
        </x:is>
      </x:c>
      <x:c r="C1" s="8" t="inlineStr">
        <x:is>
          <x:t xml:space="preserve">Relative Path</x:t>
        </x:is>
      </x:c>
      <x:c r="D1" s="8" t="inlineStr">
        <x:is>
          <x:t xml:space="preserve">Size MB</x:t>
        </x:is>
      </x:c>
      <x:c r="E1" s="8" t="inlineStr">
        <x:is>
          <x:t xml:space="preserve">Download Date</x:t>
        </x:is>
      </x:c>
      <x:c r="F1" s="8" t="inlineStr">
        <x:is>
          <x:t xml:space="preserve">Status</x:t>
        </x:is>
      </x:c>
      <x:c r="G1" s="8" t="inlineStr">
        <x:is>
          <x:t xml:space="preserve">Source URL</x:t>
        </x:is>
      </x:c>
      <x:c r="H1" s="8" t="inlineStr">
        <x:is>
          <x:t xml:space="preserve">Purpose</x:t>
        </x:is>
      </x:c>
    </x:row>
    <x:row r="2">
      <x:c r="A2" s="9" t="inlineStr">
        <x:is>
          <x:t xml:space="preserve">JM/raw_data</x:t>
        </x:is>
      </x:c>
      <x:c r="B2" s="9" t="inlineStr">
        <x:is>
          <x:t xml:space="preserve">jm_health_centres_with_geospatial_info.csv</x:t>
        </x:is>
      </x:c>
      <x:c r="C2" s="9" t="inlineStr">
        <x:is>
          <x:t xml:space="preserve">JM/raw_data/jm_health_centres_with_geospatial_info.csv</x:t>
        </x:is>
      </x:c>
      <x:c r="D2" s="9" t="n">
        <x:v>0.04</x:v>
      </x:c>
      <x:c r="E2" s="9" t="inlineStr">
        <x:is>
          <x:t xml:space="preserve">2026-03-26</x:t>
        </x:is>
      </x:c>
      <x:c r="F2" s="9" t="inlineStr">
        <x:is>
          <x:t xml:space="preserve">Downloaded</x:t>
        </x:is>
      </x:c>
      <x:c r="G2" s="9" t="inlineStr">
        <x:is>
          <x:t xml:space="preserve">https://data.gov.jm/sites/default/files/healthcentreslatlong_1.csv</x:t>
        </x:is>
      </x:c>
      <x:c r="H2" s="9" t="inlineStr">
        <x:is>
          <x:t xml:space="preserve">Sensitive receptor mapping (3.2)</x:t>
        </x:is>
      </x:c>
    </x:row>
    <x:row r="3">
      <x:c r="A3" s="9" t="inlineStr">
        <x:is>
          <x:t xml:space="preserve">JM/raw_data</x:t>
        </x:is>
      </x:c>
      <x:c r="B3" s="9" t="inlineStr">
        <x:is>
          <x:t xml:space="preserve">jm_hospitals.csv</x:t>
        </x:is>
      </x:c>
      <x:c r="C3" s="9" t="inlineStr">
        <x:is>
          <x:t xml:space="preserve">JM/raw_data/jm_hospitals.csv</x:t>
        </x:is>
      </x:c>
      <x:c r="D3" s="9" t="n">
        <x:v>0</x:v>
      </x:c>
      <x:c r="E3" s="9" t="inlineStr">
        <x:is>
          <x:t xml:space="preserve">2026-03-26</x:t>
        </x:is>
      </x:c>
      <x:c r="F3" s="9" t="inlineStr">
        <x:is>
          <x:t xml:space="preserve">Downloaded</x:t>
        </x:is>
      </x:c>
      <x:c r="G3" s="9" t="inlineStr">
        <x:is>
          <x:t xml:space="preserve">https://data.gov.jm/sites/default/files/hospitals.csv</x:t>
        </x:is>
      </x:c>
      <x:c r="H3" s="9" t="inlineStr">
        <x:is>
          <x:t xml:space="preserve">Sensitive receptor mapping (3.2)</x:t>
        </x:is>
      </x:c>
    </x:row>
    <x:row r="4">
      <x:c r="A4" s="9" t="inlineStr">
        <x:is>
          <x:t xml:space="preserve">JM/raw_data</x:t>
        </x:is>
      </x:c>
      <x:c r="B4" s="9" t="inlineStr">
        <x:is>
          <x:t xml:space="preserve">jm_public_health_centres_and_hospitals.csv</x:t>
        </x:is>
      </x:c>
      <x:c r="C4" s="9" t="inlineStr">
        <x:is>
          <x:t xml:space="preserve">JM/raw_data/jm_public_health_centres_and_hospitals.csv</x:t>
        </x:is>
      </x:c>
      <x:c r="D4" s="9" t="n">
        <x:v>0.06</x:v>
      </x:c>
      <x:c r="E4" s="9" t="inlineStr">
        <x:is>
          <x:t xml:space="preserve">2026-03-26</x:t>
        </x:is>
      </x:c>
      <x:c r="F4" s="9" t="inlineStr">
        <x:is>
          <x:t xml:space="preserve">Downloaded</x:t>
        </x:is>
      </x:c>
      <x:c r="G4" s="9" t="inlineStr">
        <x:is>
          <x:t xml:space="preserve">https://data.gov.jm/sites/default/files/Public-Health-Centres-adn-Hospitals.csv</x:t>
        </x:is>
      </x:c>
      <x:c r="H4" s="9" t="inlineStr">
        <x:is>
          <x:t xml:space="preserve">Sensitive receptor mapping (3.2)</x:t>
        </x:is>
      </x:c>
    </x:row>
    <x:row r="5">
      <x:c r="A5" s="9" t="inlineStr">
        <x:is>
          <x:t xml:space="preserve">JM/raw_data</x:t>
        </x:is>
      </x:c>
      <x:c r="B5" s="9" t="inlineStr">
        <x:is>
          <x:t xml:space="preserve">jps_annual_filing_2022.pdf</x:t>
        </x:is>
      </x:c>
      <x:c r="C5" s="9" t="inlineStr">
        <x:is>
          <x:t xml:space="preserve">JM/raw_data/jps_annual_filing_2022.pdf</x:t>
        </x:is>
      </x:c>
      <x:c r="D5" s="9" t="n">
        <x:v>2.62</x:v>
      </x:c>
      <x:c r="E5" s="9" t="inlineStr">
        <x:is>
          <x:t xml:space="preserve">2026-03-26</x:t>
        </x:is>
      </x:c>
      <x:c r="F5" s="9" t="inlineStr">
        <x:is>
          <x:t xml:space="preserve">Downloaded</x:t>
        </x:is>
      </x:c>
      <x:c r="G5" s="9" t="inlineStr">
        <x:is>
          <x:t xml:space="preserve">https://our.org.jm/wp-content/uploads/2022/05/JPS-Annual-Filing-2022-FINAL_May-10-2022.pdf</x:t>
        </x:is>
      </x:c>
      <x:c r="H5" s="9" t="inlineStr">
        <x:is>
          <x:t xml:space="preserve">Power reliability metrics (2.5)</x:t>
        </x:is>
      </x:c>
    </x:row>
    <x:row r="6">
      <x:c r="A6" s="9" t="inlineStr">
        <x:is>
          <x:t xml:space="preserve">JM/raw_data</x:t>
        </x:is>
      </x:c>
      <x:c r="B6" s="9" t="inlineStr">
        <x:is>
          <x:t xml:space="preserve">jps_distribution_network_map_by_region.pdf</x:t>
        </x:is>
      </x:c>
      <x:c r="C6" s="9" t="inlineStr">
        <x:is>
          <x:t xml:space="preserve">JM/raw_data/jps_distribution_network_map_by_region.pdf</x:t>
        </x:is>
      </x:c>
      <x:c r="D6" s="9" t="n">
        <x:v>4.18</x:v>
      </x:c>
      <x:c r="E6" s="9" t="inlineStr">
        <x:is>
          <x:t xml:space="preserve">2026-03-26</x:t>
        </x:is>
      </x:c>
      <x:c r="F6" s="9" t="inlineStr">
        <x:is>
          <x:t xml:space="preserve">Downloaded</x:t>
        </x:is>
      </x:c>
      <x:c r="G6" s="9" t="inlineStr">
        <x:is>
          <x:t xml:space="preserve">https://www.jpsco.com/wp-content/uploads/2024/01/REOI-973893-Map-of-JPS-Distribution-Network-by-Regions-1.pdf</x:t>
        </x:is>
      </x:c>
      <x:c r="H6" s="9" t="inlineStr">
        <x:is>
          <x:t xml:space="preserve">Utility infrastructure screening (2.2)</x:t>
        </x:is>
      </x:c>
    </x:row>
    <x:row r="7">
      <x:c r="A7" s="9" t="inlineStr">
        <x:is>
          <x:t xml:space="preserve">00_REGIONAL/raw_data</x:t>
        </x:is>
      </x:c>
      <x:c r="B7" s="9" t="inlineStr">
        <x:is>
          <x:t xml:space="preserve">worldpop_jamaica_2020_100m.tif</x:t>
        </x:is>
      </x:c>
      <x:c r="C7" s="9" t="inlineStr">
        <x:is>
          <x:t xml:space="preserve">00_REGIONAL/raw_data/worldpop_jamaica_2020_100m.tif</x:t>
        </x:is>
      </x:c>
      <x:c r="D7" s="9" t="n">
        <x:v>6.56</x:v>
      </x:c>
      <x:c r="E7" s="9" t="inlineStr">
        <x:is>
          <x:t xml:space="preserve">2026-03-26</x:t>
        </x:is>
      </x:c>
      <x:c r="F7" s="9" t="inlineStr">
        <x:is>
          <x:t xml:space="preserve">Downloaded</x:t>
        </x:is>
      </x:c>
      <x:c r="G7" s="9" t="inlineStr">
        <x:is>
          <x:t xml:space="preserve">https://data.worldpop.org/GIS/Population/Global_2000_2020/2020/JAM/jam_ppp_2020.tif</x:t>
        </x:is>
      </x:c>
      <x:c r="H7" s="9" t="inlineStr">
        <x:is>
          <x:t xml:space="preserve">Population density layer (3.1)</x:t>
        </x:is>
      </x:c>
    </x:row>
    <x:row r="8">
      <x:c r="A8" s="9" t="inlineStr">
        <x:is>
          <x:t xml:space="preserve">JM/raw_data</x:t>
        </x:is>
      </x:c>
      <x:c r="B8" s="9" t="inlineStr">
        <x:is>
          <x:t xml:space="preserve">JM_raw_data_manifest.csv</x:t>
        </x:is>
      </x:c>
      <x:c r="C8" s="9" t="inlineStr">
        <x:is>
          <x:t xml:space="preserve">JM/raw_data/JM_raw_data_manifest.csv</x:t>
        </x:is>
      </x:c>
      <x:c r="D8" s="9" t="n">
        <x:v>0</x:v>
      </x:c>
      <x:c r="E8" s="9" t="inlineStr">
        <x:is>
          <x:t xml:space="preserve">2026-03-26</x:t>
        </x:is>
      </x:c>
      <x:c r="F8" s="9" t="inlineStr">
        <x:is>
          <x:t xml:space="preserve">Created</x:t>
        </x:is>
      </x:c>
      <x:c r="G8" s="9" t="inlineStr">
        <x:is>
          <x:t xml:space="preserve"/>
        </x:is>
      </x:c>
      <x:c r="H8" s="9" t="inlineStr">
        <x:is>
          <x:t xml:space="preserve">Manifest of files downloaded in this Jamaica pilot build</x:t>
        </x:is>
      </x:c>
    </x:row>
    <x:row r="9">
      <x:c r="A9" t="inlineStr">
        <x:is>
          <x:t xml:space="preserve">JM/raw_data</x:t>
        </x:is>
      </x:c>
      <x:c r="B9" t="inlineStr">
        <x:is>
          <x:t xml:space="preserve">mohw_weekly_bulletin_ew8_2026.pdf</x:t>
        </x:is>
      </x:c>
      <x:c r="C9" t="inlineStr">
        <x:is>
          <x:t xml:space="preserve">JM/raw_data/mohw_weekly_bulletin_ew8_2026.pdf</x:t>
        </x:is>
      </x:c>
      <x:c r="D9" t="n">
        <x:v>1.54</x:v>
      </x:c>
      <x:c r="E9" t="inlineStr">
        <x:is>
          <x:t xml:space="preserve">2026-03-26</x:t>
        </x:is>
      </x:c>
      <x:c r="F9" t="inlineStr">
        <x:is>
          <x:t xml:space="preserve">Downloaded</x:t>
        </x:is>
      </x:c>
      <x:c r="G9" t="inlineStr">
        <x:is>
          <x:t xml:space="preserve">https://www.moh.gov.jm/wp-content/uploads/2026/03/Weekly-Bulletin-EW-8-2026.pdf</x:t>
        </x:is>
      </x:c>
      <x:c r="H9" t="inlineStr">
        <x:is>
          <x:t xml:space="preserve">Health burden / surveillance reference (3.3)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6c4c54e2fc0241b1"/>
  </x:tableParts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95" customWidth="1"/>
  </x:cols>
  <x:sheetData>
    <x:row r="1">
      <x:c r="A1" s="13" t="inlineStr">
        <x:is>
          <x:t xml:space="preserve">How to use this Jamaica tightened pilot workbook</x:t>
        </x:is>
      </x:c>
    </x:row>
    <x:row r="3">
      <x:c r="A3" s="7" t="inlineStr">
        <x:is>
          <x:t xml:space="preserve">1. Summary gives quick counts and the key blockers.</x:t>
        </x:is>
      </x:c>
    </x:row>
    <x:row r="4">
      <x:c r="A4" s="7" t="inlineStr">
        <x:is>
          <x:t xml:space="preserve">2. JM Inventory is the master country-layer sheet matching the brief's required columns.</x:t>
        </x:is>
      </x:c>
    </x:row>
    <x:row r="5">
      <x:c r="A5" s="7" t="inlineStr">
        <x:is>
          <x:t xml:space="preserve">3. Source Trail preserves backup/source-routing logic for future researcher follow-up.</x:t>
        </x:is>
      </x:c>
    </x:row>
    <x:row r="6">
      <x:c r="A6" s="7" t="inlineStr">
        <x:is>
          <x:t xml:space="preserve">4. Download Manifest lists the files that were actually captured into the raw_data folders during this pilot build.</x:t>
        </x:is>
      </x:c>
    </x:row>
    <x:row r="7">
      <x:c r="A7" s="7" t="inlineStr">
        <x:is>
          <x:t xml:space="preserve">5. This tightened pass strengthens official-source routing for flood, contamination, health, planning and heritage layers.</x:t>
        </x:is>
      </x:c>
    </x:row>
    <x:row r="8">
      <x:c r="A8" s="7" t="inlineStr">
        <x:is>
          <x:t xml:space="preserve">6. Quality labels remain conservative: only 1.4 moved to Good; other layers stayed Partial where national parcel-ready coverage is still incomplete.</x:t>
        </x:is>
      </x:c>
    </x:row>
    <x:row r="10">
      <x:c r="A10" s="14" t="inlineStr">
        <x:is>
          <x:t xml:space="preserve">Important note</x:t>
        </x:is>
      </x:c>
    </x:row>
    <x:row r="11">
      <x:c r="A11" s="15" t="inlineStr">
        <x:is>
          <x:t xml:space="preserve">The ESL brief describes the assignment as 20 layers, but the enumerated layers total 21. This tightened workbook uses the enumerated list so nothing is dropped.</x:t>
        </x:is>
      </x:c>
    </x:row>
  </x:sheetData>
  <x:pageMargins left="0.7" right="0.7" top="0.75" bottom="0.75" header="0.3" footer="0.3"/>
</x:worksheet>
</file>